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su-my.sharepoint.com/personal/e1406426_u_nus_edu/Documents/Data Science Projects/AI-Powered ESG Analytics for Cryptocurrency Investment Decision-Making/"/>
    </mc:Choice>
  </mc:AlternateContent>
  <xr:revisionPtr revIDLastSave="119" documentId="8_{D18C0B27-A45A-4354-9F2F-4E0004AADC6A}" xr6:coauthVersionLast="47" xr6:coauthVersionMax="47" xr10:uidLastSave="{33864671-AD9A-4AE2-8A52-A49D1B2CBC65}"/>
  <bookViews>
    <workbookView xWindow="57480" yWindow="-120" windowWidth="29040" windowHeight="15720" xr2:uid="{5BB87CC4-F433-4978-BAAF-873702108423}"/>
  </bookViews>
  <sheets>
    <sheet name="Summary" sheetId="4" r:id="rId1"/>
    <sheet name="Sheet1" sheetId="5" r:id="rId2"/>
    <sheet name="Governance" sheetId="1" r:id="rId3"/>
    <sheet name="Environment" sheetId="2" r:id="rId4"/>
    <sheet name="Social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2" i="4"/>
  <c r="B39" i="5"/>
  <c r="B44" i="5"/>
  <c r="B45" i="5"/>
  <c r="B46" i="5"/>
  <c r="B47" i="5"/>
  <c r="B48" i="5"/>
  <c r="B49" i="5"/>
  <c r="F38" i="4" s="1"/>
  <c r="B50" i="5"/>
  <c r="D47" i="4" s="1"/>
  <c r="B51" i="5"/>
  <c r="B38" i="5"/>
  <c r="B36" i="5"/>
  <c r="B37" i="5"/>
  <c r="B35" i="5"/>
  <c r="B31" i="5"/>
  <c r="B32" i="5"/>
  <c r="B33" i="5"/>
  <c r="B34" i="5"/>
  <c r="B26" i="5"/>
  <c r="B27" i="5"/>
  <c r="B29" i="5"/>
  <c r="B30" i="5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30" i="4"/>
  <c r="F31" i="4"/>
  <c r="F32" i="4"/>
  <c r="F33" i="4"/>
  <c r="F34" i="4"/>
  <c r="F35" i="4"/>
  <c r="F36" i="4"/>
  <c r="F37" i="4"/>
  <c r="F40" i="4"/>
  <c r="F41" i="4"/>
  <c r="F44" i="4"/>
  <c r="F45" i="4"/>
  <c r="F48" i="4"/>
  <c r="F49" i="4"/>
  <c r="F50" i="4"/>
  <c r="F51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30" i="4"/>
  <c r="E31" i="4"/>
  <c r="E32" i="4"/>
  <c r="E33" i="4"/>
  <c r="E34" i="4"/>
  <c r="E35" i="4"/>
  <c r="E36" i="4"/>
  <c r="E37" i="4"/>
  <c r="E40" i="4"/>
  <c r="E41" i="4"/>
  <c r="E44" i="4"/>
  <c r="E45" i="4"/>
  <c r="E46" i="4"/>
  <c r="E47" i="4"/>
  <c r="E48" i="4"/>
  <c r="E49" i="4"/>
  <c r="E50" i="4"/>
  <c r="E51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30" i="4"/>
  <c r="D31" i="4"/>
  <c r="D32" i="4"/>
  <c r="D33" i="4"/>
  <c r="D34" i="4"/>
  <c r="D35" i="4"/>
  <c r="D36" i="4"/>
  <c r="D37" i="4"/>
  <c r="D40" i="4"/>
  <c r="D41" i="4"/>
  <c r="D44" i="4"/>
  <c r="D45" i="4"/>
  <c r="D46" i="4"/>
  <c r="D48" i="4"/>
  <c r="D49" i="4"/>
  <c r="D50" i="4"/>
  <c r="D51" i="4"/>
  <c r="D2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" i="5"/>
  <c r="F47" i="4" l="1"/>
  <c r="D43" i="4"/>
  <c r="D42" i="4"/>
  <c r="F46" i="4"/>
  <c r="D29" i="4"/>
  <c r="E43" i="4"/>
  <c r="E42" i="4"/>
  <c r="E29" i="4"/>
  <c r="F43" i="4"/>
  <c r="D39" i="4"/>
  <c r="D38" i="4"/>
  <c r="F42" i="4"/>
  <c r="E39" i="4"/>
  <c r="F29" i="4"/>
  <c r="E38" i="4"/>
  <c r="F39" i="4"/>
</calcChain>
</file>

<file path=xl/sharedStrings.xml><?xml version="1.0" encoding="utf-8"?>
<sst xmlns="http://schemas.openxmlformats.org/spreadsheetml/2006/main" count="740" uniqueCount="385">
  <si>
    <t>Asset</t>
  </si>
  <si>
    <t>Ticker</t>
  </si>
  <si>
    <t>Internal Control (0-2)</t>
  </si>
  <si>
    <t>Rationale &amp; Key Citations</t>
  </si>
  <si>
    <t>Bitcoin</t>
  </si>
  <si>
    <t>BTC</t>
  </si>
  <si>
    <t>Ethereum</t>
  </si>
  <si>
    <t>ETH</t>
  </si>
  <si>
    <t>Tether</t>
  </si>
  <si>
    <t>USDT</t>
  </si>
  <si>
    <t>BNB</t>
  </si>
  <si>
    <t>Solana</t>
  </si>
  <si>
    <t>SOL</t>
  </si>
  <si>
    <t>USDC</t>
  </si>
  <si>
    <t>Cardano</t>
  </si>
  <si>
    <t>ADA</t>
  </si>
  <si>
    <t>TRON</t>
  </si>
  <si>
    <t>TRX</t>
  </si>
  <si>
    <t>Avalanche</t>
  </si>
  <si>
    <t>AVAX</t>
  </si>
  <si>
    <t>Polkadot</t>
  </si>
  <si>
    <t>DOT</t>
  </si>
  <si>
    <t>Chainlink</t>
  </si>
  <si>
    <t>LINK</t>
  </si>
  <si>
    <t>DAI</t>
  </si>
  <si>
    <t>Litecoin</t>
  </si>
  <si>
    <t>LTC</t>
  </si>
  <si>
    <t>NEAR</t>
  </si>
  <si>
    <t>Uniswap</t>
  </si>
  <si>
    <t>UNI</t>
  </si>
  <si>
    <t>Aptos</t>
  </si>
  <si>
    <t>APT</t>
  </si>
  <si>
    <t>Sui</t>
  </si>
  <si>
    <t>SUI</t>
  </si>
  <si>
    <t>Cosmos</t>
  </si>
  <si>
    <t>ATOM</t>
  </si>
  <si>
    <t>Stellar</t>
  </si>
  <si>
    <t>XLM</t>
  </si>
  <si>
    <t>Monero</t>
  </si>
  <si>
    <t>XMR</t>
  </si>
  <si>
    <t>Hedera</t>
  </si>
  <si>
    <t>HBAR</t>
  </si>
  <si>
    <t>Arbitrum</t>
  </si>
  <si>
    <t>ARB</t>
  </si>
  <si>
    <t>Optimism</t>
  </si>
  <si>
    <t>OP</t>
  </si>
  <si>
    <t>Filecoin</t>
  </si>
  <si>
    <t>FIL</t>
  </si>
  <si>
    <t>Lido</t>
  </si>
  <si>
    <t>Aave</t>
  </si>
  <si>
    <t>AAVE</t>
  </si>
  <si>
    <t>The Graph</t>
  </si>
  <si>
    <t>GRT</t>
  </si>
  <si>
    <t>MKR</t>
  </si>
  <si>
    <t>Algorand</t>
  </si>
  <si>
    <t>ALGO</t>
  </si>
  <si>
    <t>The Sandbox</t>
  </si>
  <si>
    <t>SAND</t>
  </si>
  <si>
    <t>Decentraland</t>
  </si>
  <si>
    <t>MANA</t>
  </si>
  <si>
    <t>FDUSD</t>
  </si>
  <si>
    <t>PoW</t>
  </si>
  <si>
    <t>PoS</t>
  </si>
  <si>
    <t>L2</t>
  </si>
  <si>
    <t>Token</t>
  </si>
  <si>
    <t>Dai</t>
  </si>
  <si>
    <t>Maker</t>
  </si>
  <si>
    <t>Lido stETH</t>
  </si>
  <si>
    <t>Rocket Pool</t>
  </si>
  <si>
    <t>WBTC</t>
  </si>
  <si>
    <t>ApeCoin</t>
  </si>
  <si>
    <t>Rank</t>
  </si>
  <si>
    <t>Name</t>
  </si>
  <si>
    <t>Societal Impact (0-4)</t>
  </si>
  <si>
    <t>Investor Protection (0-4)</t>
  </si>
  <si>
    <t>Inclusivity (0-2)</t>
  </si>
  <si>
    <t>Total Score (0-10)</t>
  </si>
  <si>
    <t>Rationale Summary</t>
  </si>
  <si>
    <t>Global store of value; zero protocol hacks; highly decentralized.</t>
  </si>
  <si>
    <t>USD Coin</t>
  </si>
  <si>
    <r>
      <t>Regulated, transparent reserves; high payment utility.</t>
    </r>
    <r>
      <rPr>
        <vertAlign val="superscript"/>
        <sz val="6.6"/>
        <color rgb="FF444746"/>
        <rFont val="Arial"/>
        <family val="2"/>
      </rPr>
      <t>28</t>
    </r>
  </si>
  <si>
    <r>
      <t>Backbone of Web3; slight centralization in staking.</t>
    </r>
    <r>
      <rPr>
        <vertAlign val="superscript"/>
        <sz val="6.6"/>
        <color rgb="FF444746"/>
        <rFont val="Arial"/>
        <family val="2"/>
      </rPr>
      <t>15</t>
    </r>
  </si>
  <si>
    <t>PayPal USD</t>
  </si>
  <si>
    <t>PYUSD</t>
  </si>
  <si>
    <r>
      <t>Massive mainstream access; centralized issuer (Paxos).</t>
    </r>
    <r>
      <rPr>
        <vertAlign val="superscript"/>
        <sz val="6.6"/>
        <color rgb="FF444746"/>
        <rFont val="Arial"/>
        <family val="2"/>
      </rPr>
      <t>26</t>
    </r>
  </si>
  <si>
    <r>
      <t>Critical oracle infrastructure; secure but permissioned nodes.</t>
    </r>
    <r>
      <rPr>
        <vertAlign val="superscript"/>
        <sz val="6.6"/>
        <color rgb="FF444746"/>
        <rFont val="Arial"/>
        <family val="2"/>
      </rPr>
      <t>31</t>
    </r>
  </si>
  <si>
    <r>
      <t>100% uptime; commodity status; accessible mining.</t>
    </r>
    <r>
      <rPr>
        <vertAlign val="superscript"/>
        <sz val="6.6"/>
        <color rgb="FF444746"/>
        <rFont val="Arial"/>
        <family val="2"/>
      </rPr>
      <t>11</t>
    </r>
  </si>
  <si>
    <r>
      <t>Top DEX; immutable contracts; regulatory friction.</t>
    </r>
    <r>
      <rPr>
        <vertAlign val="superscript"/>
        <sz val="6.6"/>
        <color rgb="FF444746"/>
        <rFont val="Arial"/>
        <family val="2"/>
      </rPr>
      <t>39</t>
    </r>
  </si>
  <si>
    <r>
      <t>Top lending protocol; high safety scores; open access.</t>
    </r>
    <r>
      <rPr>
        <vertAlign val="superscript"/>
        <sz val="6.6"/>
        <color rgb="FF444746"/>
        <rFont val="Arial"/>
        <family val="2"/>
      </rPr>
      <t>33</t>
    </r>
  </si>
  <si>
    <t>ENS</t>
  </si>
  <si>
    <t>Key identity utility; strong DAO governance.</t>
  </si>
  <si>
    <r>
      <t>Academic rigor; accessible staking; lower DeFi usage.</t>
    </r>
    <r>
      <rPr>
        <vertAlign val="superscript"/>
        <sz val="6.6"/>
        <color rgb="FF444746"/>
        <rFont val="Arial"/>
        <family val="2"/>
      </rPr>
      <t>21</t>
    </r>
  </si>
  <si>
    <r>
      <t>Dominant liquidity; historical transparency concerns.</t>
    </r>
    <r>
      <rPr>
        <vertAlign val="superscript"/>
        <sz val="6.6"/>
        <color rgb="FF444746"/>
        <rFont val="Arial"/>
        <family val="2"/>
      </rPr>
      <t>30</t>
    </r>
  </si>
  <si>
    <t>Decentralized stablecoin; resilient governance.</t>
  </si>
  <si>
    <r>
      <t>Interoperability standard; high validator barrier.</t>
    </r>
    <r>
      <rPr>
        <vertAlign val="superscript"/>
        <sz val="6.6"/>
        <color rgb="FF444746"/>
        <rFont val="Arial"/>
        <family val="2"/>
      </rPr>
      <t>23</t>
    </r>
  </si>
  <si>
    <t>Instant finality; strong tech; adoption lagging leaders.</t>
  </si>
  <si>
    <r>
      <t>Financial inclusion focus; reliable; low fees.</t>
    </r>
    <r>
      <rPr>
        <vertAlign val="superscript"/>
        <sz val="6.6"/>
        <color rgb="FF444746"/>
        <rFont val="Arial"/>
        <family val="2"/>
      </rPr>
      <t>40</t>
    </r>
  </si>
  <si>
    <t>Ondo</t>
  </si>
  <si>
    <t>ONDO</t>
  </si>
  <si>
    <r>
      <t>RWA leader; institutional custody; KYC required.</t>
    </r>
    <r>
      <rPr>
        <vertAlign val="superscript"/>
        <sz val="6.6"/>
        <color rgb="FF444746"/>
        <rFont val="Arial"/>
        <family val="2"/>
      </rPr>
      <t>35</t>
    </r>
  </si>
  <si>
    <t>stETH</t>
  </si>
  <si>
    <t>Critical for ETH staking; centralization concerns.</t>
  </si>
  <si>
    <t>rETH</t>
  </si>
  <si>
    <t>Decentralized staking alternative; robust code.</t>
  </si>
  <si>
    <t>dYdX</t>
  </si>
  <si>
    <t>DYDX</t>
  </si>
  <si>
    <t>High volume DEX; v4 improves decentralization.</t>
  </si>
  <si>
    <r>
      <t>High utility/speed; centralization/outage risks.</t>
    </r>
    <r>
      <rPr>
        <vertAlign val="superscript"/>
        <sz val="6.6"/>
        <color rgb="FF444746"/>
        <rFont val="Arial"/>
        <family val="2"/>
      </rPr>
      <t>18</t>
    </r>
  </si>
  <si>
    <r>
      <t>Enterprise subnets; high hardware requirements.</t>
    </r>
    <r>
      <rPr>
        <vertAlign val="superscript"/>
        <sz val="6.6"/>
        <color rgb="FF444746"/>
        <rFont val="Arial"/>
        <family val="2"/>
      </rPr>
      <t>25</t>
    </r>
  </si>
  <si>
    <t>IBC standard; inflation disputes in governance.</t>
  </si>
  <si>
    <t>Frax</t>
  </si>
  <si>
    <t>FRAX</t>
  </si>
  <si>
    <t>Innovative hybrid stability; complex risks.</t>
  </si>
  <si>
    <t>First Digital</t>
  </si>
  <si>
    <r>
      <t>Binance-centric; segregated reserves.</t>
    </r>
    <r>
      <rPr>
        <vertAlign val="superscript"/>
        <sz val="6.6"/>
        <color rgb="FF444746"/>
        <rFont val="Arial"/>
        <family val="2"/>
      </rPr>
      <t>29</t>
    </r>
  </si>
  <si>
    <t>Pendle</t>
  </si>
  <si>
    <t>PENDLE</t>
  </si>
  <si>
    <r>
      <t>Yield trading innovation; complex smart contract risk.</t>
    </r>
    <r>
      <rPr>
        <vertAlign val="superscript"/>
        <sz val="6.6"/>
        <color rgb="FF444746"/>
        <rFont val="Arial"/>
        <family val="2"/>
      </rPr>
      <t>41</t>
    </r>
  </si>
  <si>
    <t>Indexing utility; centralization of Indexers.</t>
  </si>
  <si>
    <t>Basic Attention</t>
  </si>
  <si>
    <t>BAT</t>
  </si>
  <si>
    <r>
      <t>Privacy browser utility; niche but steady usage.</t>
    </r>
    <r>
      <rPr>
        <vertAlign val="superscript"/>
        <sz val="6.6"/>
        <color rgb="FF444746"/>
        <rFont val="Arial"/>
        <family val="2"/>
      </rPr>
      <t>42</t>
    </r>
  </si>
  <si>
    <t>Governance of DAI; centralization trends in endgame.</t>
  </si>
  <si>
    <t>Compound</t>
  </si>
  <si>
    <t>COMP</t>
  </si>
  <si>
    <t>Lending protocol; solid code; governance apathy.</t>
  </si>
  <si>
    <t>1inch</t>
  </si>
  <si>
    <t>1INCH</t>
  </si>
  <si>
    <t>Aggregator utility; good security track record.</t>
  </si>
  <si>
    <t>Exchange utility; centralized validators; reg risk.</t>
  </si>
  <si>
    <t>Sharding tech; user friendly; lower adoption.</t>
  </si>
  <si>
    <t>Enterprise council governance; permissioned nodes.</t>
  </si>
  <si>
    <r>
      <t>Top L2 TVL; centralized sequencer risks.</t>
    </r>
    <r>
      <rPr>
        <vertAlign val="superscript"/>
        <sz val="6.6"/>
        <color rgb="FF444746"/>
        <rFont val="Arial"/>
        <family val="2"/>
      </rPr>
      <t>38</t>
    </r>
  </si>
  <si>
    <t>Public goods funding; centralized sequencer.</t>
  </si>
  <si>
    <t>Key liquidity bridge; custodial/counterparty risk.</t>
  </si>
  <si>
    <t>Wormhole</t>
  </si>
  <si>
    <t>W</t>
  </si>
  <si>
    <r>
      <t>Interoperability; past hack weighs on score.</t>
    </r>
    <r>
      <rPr>
        <vertAlign val="superscript"/>
        <sz val="6.6"/>
        <color rgb="FF444746"/>
        <rFont val="Arial"/>
        <family val="2"/>
      </rPr>
      <t>34</t>
    </r>
  </si>
  <si>
    <r>
      <t>Metaverse pioneer; low active user base.</t>
    </r>
    <r>
      <rPr>
        <vertAlign val="superscript"/>
        <sz val="6.6"/>
        <color rgb="FF444746"/>
        <rFont val="Arial"/>
        <family val="2"/>
      </rPr>
      <t>36</t>
    </r>
  </si>
  <si>
    <t>UGC gaming; token volatility; moderate adoption.</t>
  </si>
  <si>
    <t>GMX</t>
  </si>
  <si>
    <r>
      <t>Real yield; 2025 hack ($42M) impacts score.</t>
    </r>
    <r>
      <rPr>
        <vertAlign val="superscript"/>
        <sz val="6.6"/>
        <color rgb="FF444746"/>
        <rFont val="Arial"/>
        <family val="2"/>
      </rPr>
      <t>5</t>
    </r>
  </si>
  <si>
    <t>Yearn</t>
  </si>
  <si>
    <t>YFI</t>
  </si>
  <si>
    <t>Yield aggregator; declining relevance vs 2020.</t>
  </si>
  <si>
    <t>Curve DAO</t>
  </si>
  <si>
    <t>CRV</t>
  </si>
  <si>
    <t>Critical liquidity; 2025 Vyper hack/founder liquidation risk.</t>
  </si>
  <si>
    <r>
      <t>High throughput; VC heavy; high hardware reqs.</t>
    </r>
    <r>
      <rPr>
        <vertAlign val="superscript"/>
        <sz val="6.6"/>
        <color rgb="FF444746"/>
        <rFont val="Arial"/>
        <family val="2"/>
      </rPr>
      <t>43</t>
    </r>
  </si>
  <si>
    <t>Similar to Aptos; low retail inclusivity.</t>
  </si>
  <si>
    <r>
      <t>Storage utility; high hardware/collateral barrier.</t>
    </r>
    <r>
      <rPr>
        <vertAlign val="superscript"/>
        <sz val="6.6"/>
        <color rgb="FF444746"/>
        <rFont val="Arial"/>
        <family val="2"/>
      </rPr>
      <t>44</t>
    </r>
  </si>
  <si>
    <r>
      <t>Privacy utility; extreme regulatory delisting risk.</t>
    </r>
    <r>
      <rPr>
        <vertAlign val="superscript"/>
        <sz val="6.6"/>
        <color rgb="FF444746"/>
        <rFont val="Arial"/>
        <family val="2"/>
      </rPr>
      <t>13</t>
    </r>
  </si>
  <si>
    <t>Tron</t>
  </si>
  <si>
    <t>High USDT usage; centralized governance/legal risk.</t>
  </si>
  <si>
    <t>APE</t>
  </si>
  <si>
    <r>
      <t>Speculative; governance centralization concerns.</t>
    </r>
    <r>
      <rPr>
        <vertAlign val="superscript"/>
        <sz val="6.6"/>
        <color rgb="FF444746"/>
        <rFont val="Arial"/>
        <family val="2"/>
      </rPr>
      <t>37</t>
    </r>
  </si>
  <si>
    <t>Blur</t>
  </si>
  <si>
    <t>BLUR</t>
  </si>
  <si>
    <t>NFT liquidity; incentivizes wash trading.</t>
  </si>
  <si>
    <t>LooksRare</t>
  </si>
  <si>
    <t>LOOKS</t>
  </si>
  <si>
    <t>Wash trading dominance; low organic utility.</t>
  </si>
  <si>
    <t>CoinGecko_ID</t>
  </si>
  <si>
    <t>bitcoin</t>
  </si>
  <si>
    <t>ethereum</t>
  </si>
  <si>
    <t>binancecoin</t>
  </si>
  <si>
    <t>solana</t>
  </si>
  <si>
    <t>cardano</t>
  </si>
  <si>
    <t>polkadot</t>
  </si>
  <si>
    <t>avalanche-2</t>
  </si>
  <si>
    <t>cosmos</t>
  </si>
  <si>
    <t>near</t>
  </si>
  <si>
    <t>algorand</t>
  </si>
  <si>
    <t>hedera-hashgraph</t>
  </si>
  <si>
    <t>tron</t>
  </si>
  <si>
    <t>stellar</t>
  </si>
  <si>
    <t>litecoin</t>
  </si>
  <si>
    <t>monero</t>
  </si>
  <si>
    <t>aptos</t>
  </si>
  <si>
    <t>sui</t>
  </si>
  <si>
    <t>filecoin</t>
  </si>
  <si>
    <t>chainlink</t>
  </si>
  <si>
    <t>uniswap</t>
  </si>
  <si>
    <t>aave</t>
  </si>
  <si>
    <t>compound-governance-token</t>
  </si>
  <si>
    <t>curve-dao-token</t>
  </si>
  <si>
    <t>the-graph</t>
  </si>
  <si>
    <t>arbitrum</t>
  </si>
  <si>
    <t>optimism</t>
  </si>
  <si>
    <t>basic-attention-token</t>
  </si>
  <si>
    <t>yearn-finance</t>
  </si>
  <si>
    <t>maker</t>
  </si>
  <si>
    <t>dydx</t>
  </si>
  <si>
    <t>gmx</t>
  </si>
  <si>
    <t>pendle</t>
  </si>
  <si>
    <t>ondo-finance</t>
  </si>
  <si>
    <t>ethereum-name-service</t>
  </si>
  <si>
    <t>apecoin</t>
  </si>
  <si>
    <t>tether</t>
  </si>
  <si>
    <t>usd-coin</t>
  </si>
  <si>
    <t>dai</t>
  </si>
  <si>
    <t>frax</t>
  </si>
  <si>
    <t>first-digital-usd</t>
  </si>
  <si>
    <t>First Digital USD</t>
  </si>
  <si>
    <t>paypal-usd</t>
  </si>
  <si>
    <t>decentraland</t>
  </si>
  <si>
    <t>the-sandbox</t>
  </si>
  <si>
    <t>blur</t>
  </si>
  <si>
    <t>looksrare</t>
  </si>
  <si>
    <t>wrapped-bitcoin</t>
  </si>
  <si>
    <t>Wrapped Bitcoin</t>
  </si>
  <si>
    <t>staked-ether</t>
  </si>
  <si>
    <t>Lido Staked Ether</t>
  </si>
  <si>
    <t>rocket-pool-eth</t>
  </si>
  <si>
    <t>Rocket Pool ETH</t>
  </si>
  <si>
    <t>wormhole</t>
  </si>
  <si>
    <t>yearn</t>
  </si>
  <si>
    <t>Ethereum Name</t>
  </si>
  <si>
    <t>Symbol</t>
  </si>
  <si>
    <t>Wrapped BTC</t>
  </si>
  <si>
    <t>Type</t>
  </si>
  <si>
    <t>E1</t>
  </si>
  <si>
    <t>E2</t>
  </si>
  <si>
    <t>E3</t>
  </si>
  <si>
    <t>Total</t>
  </si>
  <si>
    <r>
      <t>175 TWh/yr, 98 MtCO2e/yr. Massive ASIC waste.</t>
    </r>
    <r>
      <rPr>
        <vertAlign val="superscript"/>
        <sz val="6.6"/>
        <color rgb="FF444746"/>
        <rFont val="Arial"/>
        <family val="2"/>
      </rPr>
      <t>5</t>
    </r>
  </si>
  <si>
    <r>
      <t>~5 GWh/yr. 99.99% reduction post-merge.</t>
    </r>
    <r>
      <rPr>
        <vertAlign val="superscript"/>
        <sz val="6.6"/>
        <color rgb="FF444746"/>
        <rFont val="Arial"/>
        <family val="2"/>
      </rPr>
      <t>12</t>
    </r>
  </si>
  <si>
    <r>
      <t>~0.11 GWh/yr. Highly efficient authority set.</t>
    </r>
    <r>
      <rPr>
        <vertAlign val="superscript"/>
        <sz val="6.6"/>
        <color rgb="FF444746"/>
        <rFont val="Arial"/>
        <family val="2"/>
      </rPr>
      <t>12</t>
    </r>
  </si>
  <si>
    <r>
      <t>~14 GWh/yr. High hardware specs drive moderate use.</t>
    </r>
    <r>
      <rPr>
        <vertAlign val="superscript"/>
        <sz val="6.6"/>
        <color rgb="FF444746"/>
        <rFont val="Arial"/>
        <family val="2"/>
      </rPr>
      <t>14</t>
    </r>
  </si>
  <si>
    <r>
      <t>~0.5 GWh/yr. Very efficient liquid staking.</t>
    </r>
    <r>
      <rPr>
        <vertAlign val="superscript"/>
        <sz val="6.6"/>
        <color rgb="FF444746"/>
        <rFont val="Arial"/>
        <family val="2"/>
      </rPr>
      <t>20</t>
    </r>
  </si>
  <si>
    <r>
      <t>~70-140 MWh/yr. Lowest among major L1s.</t>
    </r>
    <r>
      <rPr>
        <vertAlign val="superscript"/>
        <sz val="6.6"/>
        <color rgb="FF444746"/>
        <rFont val="Arial"/>
        <family val="2"/>
      </rPr>
      <t>17</t>
    </r>
  </si>
  <si>
    <r>
      <t>~0.48 GWh/yr. Lightweight consensus.</t>
    </r>
    <r>
      <rPr>
        <vertAlign val="superscript"/>
        <sz val="6.6"/>
        <color rgb="FF444746"/>
        <rFont val="Arial"/>
        <family val="2"/>
      </rPr>
      <t>17</t>
    </r>
  </si>
  <si>
    <t>Cosmos Hub</t>
  </si>
  <si>
    <r>
      <t>Low validator count limits total energy draw.</t>
    </r>
    <r>
      <rPr>
        <vertAlign val="superscript"/>
        <sz val="6.6"/>
        <color rgb="FF444746"/>
        <rFont val="Arial"/>
        <family val="2"/>
      </rPr>
      <t>32</t>
    </r>
  </si>
  <si>
    <t>NEAR Protocol</t>
  </si>
  <si>
    <r>
      <t>Certified Climate Neutral product.</t>
    </r>
    <r>
      <rPr>
        <vertAlign val="superscript"/>
        <sz val="6.6"/>
        <color rgb="FF444746"/>
        <rFont val="Arial"/>
        <family val="2"/>
      </rPr>
      <t>24</t>
    </r>
  </si>
  <si>
    <r>
      <t>Pure PoS designed for minimal energy (&lt;100 MWh).</t>
    </r>
    <r>
      <rPr>
        <vertAlign val="superscript"/>
        <sz val="6.6"/>
        <color rgb="FF444746"/>
        <rFont val="Arial"/>
        <family val="2"/>
      </rPr>
      <t>33</t>
    </r>
  </si>
  <si>
    <t>DLT</t>
  </si>
  <si>
    <r>
      <t>Hashgraph is exceptionally efficient (0.000003 kWh/tx).</t>
    </r>
    <r>
      <rPr>
        <vertAlign val="superscript"/>
        <sz val="6.6"/>
        <color rgb="FF444746"/>
        <rFont val="Arial"/>
        <family val="2"/>
      </rPr>
      <t>23</t>
    </r>
  </si>
  <si>
    <r>
      <t>~3.4 GWh/yr. Higher usage than DOT/ADA.</t>
    </r>
    <r>
      <rPr>
        <vertAlign val="superscript"/>
        <sz val="6.6"/>
        <color rgb="FF444746"/>
        <rFont val="Arial"/>
        <family val="2"/>
      </rPr>
      <t>12</t>
    </r>
  </si>
  <si>
    <t>FBA</t>
  </si>
  <si>
    <r>
      <t>~0.48 GWh/yr.</t>
    </r>
    <r>
      <rPr>
        <vertAlign val="superscript"/>
        <sz val="6.6"/>
        <color rgb="FF444746"/>
        <rFont val="Arial"/>
        <family val="2"/>
      </rPr>
      <t>34</t>
    </r>
  </si>
  <si>
    <r>
      <t>~2-8 TWh/yr. ASIC Scrypt mining.</t>
    </r>
    <r>
      <rPr>
        <vertAlign val="superscript"/>
        <sz val="6.6"/>
        <color rgb="FF444746"/>
        <rFont val="Arial"/>
        <family val="2"/>
      </rPr>
      <t>11</t>
    </r>
  </si>
  <si>
    <r>
      <t>~1 TWh/yr. CPU mining reduces e-waste vs ASICs.</t>
    </r>
    <r>
      <rPr>
        <vertAlign val="superscript"/>
        <sz val="6.6"/>
        <color rgb="FF444746"/>
        <rFont val="Arial"/>
        <family val="2"/>
      </rPr>
      <t>2</t>
    </r>
  </si>
  <si>
    <r>
      <t>~0.37 GWh/yr.</t>
    </r>
    <r>
      <rPr>
        <vertAlign val="superscript"/>
        <sz val="6.6"/>
        <color rgb="FF444746"/>
        <rFont val="Arial"/>
        <family val="2"/>
      </rPr>
      <t>25</t>
    </r>
  </si>
  <si>
    <r>
      <t>~0.39 GWh/yr.</t>
    </r>
    <r>
      <rPr>
        <vertAlign val="superscript"/>
        <sz val="6.6"/>
        <color rgb="FF444746"/>
        <rFont val="Arial"/>
        <family val="2"/>
      </rPr>
      <t>26</t>
    </r>
  </si>
  <si>
    <t>PoSt</t>
  </si>
  <si>
    <r>
      <t>Sealing data is energy/hardware intensive (~12+ GWh).</t>
    </r>
    <r>
      <rPr>
        <vertAlign val="superscript"/>
        <sz val="6.6"/>
        <color rgb="FF444746"/>
        <rFont val="Arial"/>
        <family val="2"/>
      </rPr>
      <t>3</t>
    </r>
  </si>
  <si>
    <t>Oracle</t>
  </si>
  <si>
    <r>
      <t>Node network runs on standard servers.</t>
    </r>
    <r>
      <rPr>
        <vertAlign val="superscript"/>
        <sz val="6.6"/>
        <color rgb="FF444746"/>
        <rFont val="Arial"/>
        <family val="2"/>
      </rPr>
      <t>27</t>
    </r>
  </si>
  <si>
    <r>
      <t>Inherits Ethereum's green profile.</t>
    </r>
    <r>
      <rPr>
        <vertAlign val="superscript"/>
        <sz val="6.6"/>
        <color rgb="FF444746"/>
        <rFont val="Arial"/>
        <family val="2"/>
      </rPr>
      <t>29</t>
    </r>
  </si>
  <si>
    <t>Smart contract on Ethereum.</t>
  </si>
  <si>
    <t>Smart contract aggregator.</t>
  </si>
  <si>
    <t>Infra</t>
  </si>
  <si>
    <r>
      <t>Indexer nodes are lightweight.</t>
    </r>
    <r>
      <rPr>
        <vertAlign val="superscript"/>
        <sz val="6.6"/>
        <color rgb="FF444746"/>
        <rFont val="Arial"/>
        <family val="2"/>
      </rPr>
      <t>28</t>
    </r>
  </si>
  <si>
    <t>L2 Rollup; extremely efficient batching.</t>
  </si>
  <si>
    <r>
      <t>L2 Rollup; minimal sequencer footprint.</t>
    </r>
    <r>
      <rPr>
        <vertAlign val="superscript"/>
        <sz val="6.6"/>
        <color rgb="FF444746"/>
        <rFont val="Arial"/>
        <family val="2"/>
      </rPr>
      <t>12</t>
    </r>
  </si>
  <si>
    <t>ERC-20 token.</t>
  </si>
  <si>
    <t>yearn.finance</t>
  </si>
  <si>
    <t>ERC-20 token governing DAI.</t>
  </si>
  <si>
    <t>L1</t>
  </si>
  <si>
    <r>
      <t>Now a Cosmos-based chain. Efficient PoS.</t>
    </r>
    <r>
      <rPr>
        <vertAlign val="superscript"/>
        <sz val="6.6"/>
        <color rgb="FF444746"/>
        <rFont val="Arial"/>
        <family val="2"/>
      </rPr>
      <t>35</t>
    </r>
  </si>
  <si>
    <t>Arbitrum-based token. Very green.</t>
  </si>
  <si>
    <t>RWA token on Ethereum.</t>
  </si>
  <si>
    <t>NFT/Utility token on Ethereum.</t>
  </si>
  <si>
    <t>Stable</t>
  </si>
  <si>
    <t>Stablecoin on multiple PoS chains.</t>
  </si>
  <si>
    <r>
      <t>Stablecoin on multiple PoS chains.</t>
    </r>
    <r>
      <rPr>
        <vertAlign val="superscript"/>
        <sz val="6.6"/>
        <color rgb="FF444746"/>
        <rFont val="Arial"/>
        <family val="2"/>
      </rPr>
      <t>36</t>
    </r>
  </si>
  <si>
    <t>Algorithmic/Crypto-backed stablecoin.</t>
  </si>
  <si>
    <t>Stablecoin.</t>
  </si>
  <si>
    <t>Metaverse token on Ethereum.</t>
  </si>
  <si>
    <t>NFT Marketplace token.</t>
  </si>
  <si>
    <t>Asset runs on Ethereum (Green).</t>
  </si>
  <si>
    <t>Derivative representing staked ETH.</t>
  </si>
  <si>
    <t>Liquid staking token.</t>
  </si>
  <si>
    <r>
      <t>Guardian network has low node count.</t>
    </r>
    <r>
      <rPr>
        <vertAlign val="superscript"/>
        <sz val="6.6"/>
        <color rgb="FF444746"/>
        <rFont val="Arial"/>
        <family val="2"/>
      </rPr>
      <t>37</t>
    </r>
  </si>
  <si>
    <t>Legal (0-4)</t>
  </si>
  <si>
    <t>Protocol (0-4)</t>
  </si>
  <si>
    <t>Total (0-10)</t>
  </si>
  <si>
    <t>Rationale</t>
  </si>
  <si>
    <t>Tripartite entities; On-chain Constitution; Transparent treasury.</t>
  </si>
  <si>
    <t>Swiss Foundation; OpenGov bicameral system; On-chain treasury.</t>
  </si>
  <si>
    <t>Bicameral (Token + Citizens' House); Cayman Foundation.</t>
  </si>
  <si>
    <t>Swiss Foundation; Robust off-chain consensus; Global audits.</t>
  </si>
  <si>
    <t>Interchain Foundation; Active on-chain gov; Community pool.</t>
  </si>
  <si>
    <t>Foundation; Representative Council (Multisig); Transparent grants.</t>
  </si>
  <si>
    <t>Cayman Foundation; Elected Security Council; On-chain DAO.</t>
  </si>
  <si>
    <t>BVI SPV (Institutional); Permissioned gov; High audit freq.</t>
  </si>
  <si>
    <t>Cayman Foundation; Constitutionally bound delegates.</t>
  </si>
  <si>
    <t>Cayman Foundation; Fully decentralized v4 chain gov.</t>
  </si>
  <si>
    <t>Foundation + DAO (Uninc.); Huge treasury; VC delegation.</t>
  </si>
  <si>
    <t>"Guardian" veto; Service provider elections; UK entities.</t>
  </si>
  <si>
    <t>SubDAO structure; High centralization of vote; Mature risk ops.</t>
  </si>
  <si>
    <t>Curve</t>
  </si>
  <si>
    <t>veCRV standard; Long-term alignment; Emergency multisig risk.</t>
  </si>
  <si>
    <t>Swiss Foundation + House of Stake; AI-gov experimentation.</t>
  </si>
  <si>
    <t>US Foundation; xGov decentralization; Transparency reports.</t>
  </si>
  <si>
    <t>Corporate Council (LLC); Permissioned but legally robust.</t>
  </si>
  <si>
    <t>US Foundation; FIP process; Storage provider influence.</t>
  </si>
  <si>
    <t>Managed by MakerDAO (see MKR).</t>
  </si>
  <si>
    <t>veFXS governance; AMOs controlled by DAO.</t>
  </si>
  <si>
    <t>pDAO (Node Operators); On-chain execution.</t>
  </si>
  <si>
    <t>Cayman Foundation; Guardian Network security; W staking.</t>
  </si>
  <si>
    <t>Singapore Foundation; Bitcoin-like stability.</t>
  </si>
  <si>
    <t>Swiss Foundation; Validator-heavy; Centralized halts.</t>
  </si>
  <si>
    <t>Governor Bravo; Professionalized multisig.</t>
  </si>
  <si>
    <t>Cayman Foundation; Instant Governance; Multisig treasury.</t>
  </si>
  <si>
    <t>Multi-DAO; Treasury script risk; Trust-based.</t>
  </si>
  <si>
    <t>Panama entity; vePENDLE/sPENDLE; DeFi controls.</t>
  </si>
  <si>
    <t>US Regulated (Circle); No voting; Monthly audits.</t>
  </si>
  <si>
    <t>NYDFS Trust (Paxos); Bankruptcy remote; No voting.</t>
  </si>
  <si>
    <t>Consortium (BitGo/BiT Global); Proof of Reserve.</t>
  </si>
  <si>
    <t>Dual Gov (stETH veto); No legal wrapper (GP risk).</t>
  </si>
  <si>
    <t>No entity; PoW security; Immutable rules.</t>
  </si>
  <si>
    <t>Singapore Foundation; Parameter gov only.</t>
  </si>
  <si>
    <t>Cayman Foundation; Foundation-driven gov.</t>
  </si>
  <si>
    <t>Cayman Foundation; Early-stage centralization.</t>
  </si>
  <si>
    <t>Labs entity; Technical meritocracy; Automated controls.</t>
  </si>
  <si>
    <t>Cayman Foundation; Admin multisig; Apathy.</t>
  </si>
  <si>
    <t>Foundation; DAO Committee executes votes.</t>
  </si>
  <si>
    <t>HK Trust; Regulated custody; No voting.</t>
  </si>
  <si>
    <t>US Non-profit; No on-chain voting; Transparency reports.</t>
  </si>
  <si>
    <t>No entity; CCS funding; Mathematical audits.</t>
  </si>
  <si>
    <t>Snapshot voting; Multisig execution; Weak legal wrapper.</t>
  </si>
  <si>
    <t>Corporate heavy; Grant focused.</t>
  </si>
  <si>
    <t>Centralized validators; Opaque governance.</t>
  </si>
  <si>
    <t>Founder dominated; Legal issues.</t>
  </si>
  <si>
    <t>El Salvador entity; No voting; Attestations (not audits).</t>
  </si>
  <si>
    <t>Anon/DAO; Incentive farming gov.</t>
  </si>
  <si>
    <t>Anon/DAO; Off-chain voting.</t>
  </si>
  <si>
    <t>Basic Attn</t>
  </si>
  <si>
    <t>Corporate product (Brave); No governance rights.</t>
  </si>
  <si>
    <t>Reth</t>
  </si>
  <si>
    <t>E</t>
  </si>
  <si>
    <t>S</t>
  </si>
  <si>
    <t>G</t>
  </si>
  <si>
    <t>Cardano (ADA)</t>
  </si>
  <si>
    <t>Stellar (XLM)</t>
  </si>
  <si>
    <t>Polkadot (DOT)</t>
  </si>
  <si>
    <t>Hedera (HBAR)</t>
  </si>
  <si>
    <t>Algorand (ALGO)</t>
  </si>
  <si>
    <t>Filecoin (FIL)</t>
  </si>
  <si>
    <t>NEAR Protocol (NEAR)</t>
  </si>
  <si>
    <t>Chainlink (LINK)</t>
  </si>
  <si>
    <t>Cosmos (ATOM)</t>
  </si>
  <si>
    <t>Avalanche (AVAX)</t>
  </si>
  <si>
    <t>Ethereum (ETH)</t>
  </si>
  <si>
    <t>Solana (SOL)</t>
  </si>
  <si>
    <t>Aptos (APT)</t>
  </si>
  <si>
    <t>Sui (SUI)</t>
  </si>
  <si>
    <t>Uniswap (UNI)</t>
  </si>
  <si>
    <t>Aave (AAVE)</t>
  </si>
  <si>
    <t>Compound (COMP)</t>
  </si>
  <si>
    <t>TRON (TRX)</t>
  </si>
  <si>
    <t>BNB Chain (BNB)</t>
  </si>
  <si>
    <t>Curve (CRV)</t>
  </si>
  <si>
    <t>1inch (1INCH)</t>
  </si>
  <si>
    <t>Bitcoin (BTC)</t>
  </si>
  <si>
    <t>Litecoin (LTC)</t>
  </si>
  <si>
    <t>Monero (XMR)</t>
  </si>
  <si>
    <t>Environment (0-3)</t>
  </si>
  <si>
    <t>Social (0-6)</t>
  </si>
  <si>
    <t>Governance (0-3)</t>
  </si>
  <si>
    <t>Optimism (OP)</t>
  </si>
  <si>
    <t>Arbitrum (ARB)</t>
  </si>
  <si>
    <t>Wormhole (W)</t>
  </si>
  <si>
    <t>The Graph (GRT)</t>
  </si>
  <si>
    <t>dYdX (DYDX)</t>
  </si>
  <si>
    <t>GMX (GMX)</t>
  </si>
  <si>
    <t>Pendle (PENDLE)</t>
  </si>
  <si>
    <t>Yearn (YFI)</t>
  </si>
  <si>
    <t>Maker (MKR)</t>
  </si>
  <si>
    <t>Rocket Pool (rETH)</t>
  </si>
  <si>
    <t>Lido (stETH)</t>
  </si>
  <si>
    <t>Dai (DAI)</t>
  </si>
  <si>
    <t>Frax (FRAX)</t>
  </si>
  <si>
    <t>Ondo (ONDO)</t>
  </si>
  <si>
    <t>Wrapped Bitcoin (WBTC)</t>
  </si>
  <si>
    <t>ApeCoin (APE)</t>
  </si>
  <si>
    <t>Decentraland (MANA)</t>
  </si>
  <si>
    <t>The Sandbox (SAND)</t>
  </si>
  <si>
    <t>Blur (BLUR)</t>
  </si>
  <si>
    <t>LooksRare (LOOKS)</t>
  </si>
  <si>
    <t>Basic Attention (BAT)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</si>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</sst>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vertAlign val="superscript"/>
      <sz val="6.6"/>
      <color rgb="FF444746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2228-1087-4FAE-8988-DCA833DCFAF9}">
  <dimension ref="A1:G51"/>
  <sheetViews>
    <sheetView tabSelected="1" workbookViewId="0">
      <selection activeCell="I12" sqref="I12"/>
    </sheetView>
  </sheetViews>
  <sheetFormatPr defaultRowHeight="14.5" x14ac:dyDescent="0.35"/>
  <cols>
    <col min="1" max="1" width="27.6328125" customWidth="1"/>
    <col min="2" max="2" width="26.08984375" customWidth="1"/>
    <col min="3" max="3" width="15.26953125" customWidth="1"/>
  </cols>
  <sheetData>
    <row r="1" spans="1:7" x14ac:dyDescent="0.35">
      <c r="A1" t="s">
        <v>162</v>
      </c>
      <c r="B1" t="s">
        <v>72</v>
      </c>
      <c r="C1" t="s">
        <v>218</v>
      </c>
      <c r="D1" t="s">
        <v>333</v>
      </c>
      <c r="E1" t="s">
        <v>334</v>
      </c>
      <c r="F1" t="s">
        <v>335</v>
      </c>
      <c r="G1" t="s">
        <v>384</v>
      </c>
    </row>
    <row r="2" spans="1:7" x14ac:dyDescent="0.35">
      <c r="A2" t="s">
        <v>163</v>
      </c>
      <c r="B2" t="s">
        <v>4</v>
      </c>
      <c r="C2" t="s">
        <v>5</v>
      </c>
      <c r="D2">
        <f>_xlfn.XLOOKUP(C2,Sheet1!B:B,Sheet1!C:C)</f>
        <v>0</v>
      </c>
      <c r="E2">
        <f>_xlfn.XLOOKUP(C2,Sheet1!B:B,Sheet1!D:D)</f>
        <v>2</v>
      </c>
      <c r="F2">
        <f>_xlfn.XLOOKUP(C2,Sheet1!B:B,Sheet1!E:E)</f>
        <v>1</v>
      </c>
      <c r="G2">
        <f>SUM(D2:F2)</f>
        <v>3</v>
      </c>
    </row>
    <row r="3" spans="1:7" x14ac:dyDescent="0.35">
      <c r="A3" t="s">
        <v>164</v>
      </c>
      <c r="B3" t="s">
        <v>6</v>
      </c>
      <c r="C3" t="s">
        <v>7</v>
      </c>
      <c r="D3">
        <f>_xlfn.XLOOKUP(C3,Sheet1!B:B,Sheet1!C:C)</f>
        <v>1</v>
      </c>
      <c r="E3">
        <f>_xlfn.XLOOKUP(C3,Sheet1!B:B,Sheet1!D:D)</f>
        <v>4</v>
      </c>
      <c r="F3">
        <f>_xlfn.XLOOKUP(C3,Sheet1!B:B,Sheet1!E:E)</f>
        <v>1</v>
      </c>
      <c r="G3">
        <f t="shared" ref="G3:G51" si="0">SUM(D3:F3)</f>
        <v>6</v>
      </c>
    </row>
    <row r="4" spans="1:7" x14ac:dyDescent="0.35">
      <c r="A4" t="s">
        <v>165</v>
      </c>
      <c r="B4" t="s">
        <v>10</v>
      </c>
      <c r="C4" t="s">
        <v>10</v>
      </c>
      <c r="D4">
        <f>_xlfn.XLOOKUP(C4,Sheet1!B:B,Sheet1!C:C)</f>
        <v>2</v>
      </c>
      <c r="E4">
        <f>_xlfn.XLOOKUP(C4,Sheet1!B:B,Sheet1!D:D)</f>
        <v>4</v>
      </c>
      <c r="F4">
        <f>_xlfn.XLOOKUP(C4,Sheet1!B:B,Sheet1!E:E)</f>
        <v>0</v>
      </c>
      <c r="G4">
        <f t="shared" si="0"/>
        <v>6</v>
      </c>
    </row>
    <row r="5" spans="1:7" x14ac:dyDescent="0.35">
      <c r="A5" t="s">
        <v>166</v>
      </c>
      <c r="B5" t="s">
        <v>11</v>
      </c>
      <c r="C5" t="s">
        <v>12</v>
      </c>
      <c r="D5">
        <f>_xlfn.XLOOKUP(C5,Sheet1!B:B,Sheet1!C:C)</f>
        <v>2</v>
      </c>
      <c r="E5">
        <f>_xlfn.XLOOKUP(C5,Sheet1!B:B,Sheet1!D:D)</f>
        <v>4</v>
      </c>
      <c r="F5">
        <f>_xlfn.XLOOKUP(C5,Sheet1!B:B,Sheet1!E:E)</f>
        <v>1</v>
      </c>
      <c r="G5">
        <f t="shared" si="0"/>
        <v>7</v>
      </c>
    </row>
    <row r="6" spans="1:7" x14ac:dyDescent="0.35">
      <c r="A6" t="s">
        <v>167</v>
      </c>
      <c r="B6" t="s">
        <v>14</v>
      </c>
      <c r="C6" t="s">
        <v>15</v>
      </c>
      <c r="D6">
        <f>_xlfn.XLOOKUP(C6,Sheet1!B:B,Sheet1!C:C)</f>
        <v>3</v>
      </c>
      <c r="E6">
        <f>_xlfn.XLOOKUP(C6,Sheet1!B:B,Sheet1!D:D)</f>
        <v>6</v>
      </c>
      <c r="F6">
        <f>_xlfn.XLOOKUP(C6,Sheet1!B:B,Sheet1!E:E)</f>
        <v>2</v>
      </c>
      <c r="G6">
        <f t="shared" si="0"/>
        <v>11</v>
      </c>
    </row>
    <row r="7" spans="1:7" x14ac:dyDescent="0.35">
      <c r="A7" t="s">
        <v>168</v>
      </c>
      <c r="B7" t="s">
        <v>20</v>
      </c>
      <c r="C7" t="s">
        <v>21</v>
      </c>
      <c r="D7">
        <f>_xlfn.XLOOKUP(C7,Sheet1!B:B,Sheet1!C:C)</f>
        <v>2</v>
      </c>
      <c r="E7">
        <f>_xlfn.XLOOKUP(C7,Sheet1!B:B,Sheet1!D:D)</f>
        <v>4</v>
      </c>
      <c r="F7">
        <f>_xlfn.XLOOKUP(C7,Sheet1!B:B,Sheet1!E:E)</f>
        <v>3</v>
      </c>
      <c r="G7">
        <f t="shared" si="0"/>
        <v>9</v>
      </c>
    </row>
    <row r="8" spans="1:7" x14ac:dyDescent="0.35">
      <c r="A8" t="s">
        <v>169</v>
      </c>
      <c r="B8" t="s">
        <v>18</v>
      </c>
      <c r="C8" t="s">
        <v>19</v>
      </c>
      <c r="D8">
        <f>_xlfn.XLOOKUP(C8,Sheet1!B:B,Sheet1!C:C)</f>
        <v>2</v>
      </c>
      <c r="E8">
        <f>_xlfn.XLOOKUP(C8,Sheet1!B:B,Sheet1!D:D)</f>
        <v>4</v>
      </c>
      <c r="F8">
        <f>_xlfn.XLOOKUP(C8,Sheet1!B:B,Sheet1!E:E)</f>
        <v>2</v>
      </c>
      <c r="G8">
        <f t="shared" si="0"/>
        <v>8</v>
      </c>
    </row>
    <row r="9" spans="1:7" x14ac:dyDescent="0.35">
      <c r="A9" t="s">
        <v>170</v>
      </c>
      <c r="B9" t="s">
        <v>34</v>
      </c>
      <c r="C9" t="s">
        <v>35</v>
      </c>
      <c r="D9">
        <f>_xlfn.XLOOKUP(C9,Sheet1!B:B,Sheet1!C:C)</f>
        <v>2</v>
      </c>
      <c r="E9">
        <f>_xlfn.XLOOKUP(C9,Sheet1!B:B,Sheet1!D:D)</f>
        <v>4</v>
      </c>
      <c r="F9">
        <f>_xlfn.XLOOKUP(C9,Sheet1!B:B,Sheet1!E:E)</f>
        <v>2</v>
      </c>
      <c r="G9">
        <f t="shared" si="0"/>
        <v>8</v>
      </c>
    </row>
    <row r="10" spans="1:7" x14ac:dyDescent="0.35">
      <c r="A10" t="s">
        <v>171</v>
      </c>
      <c r="B10" t="s">
        <v>27</v>
      </c>
      <c r="C10" t="s">
        <v>27</v>
      </c>
      <c r="D10">
        <f>_xlfn.XLOOKUP(C10,Sheet1!B:B,Sheet1!C:C)</f>
        <v>3</v>
      </c>
      <c r="E10">
        <f>_xlfn.XLOOKUP(C10,Sheet1!B:B,Sheet1!D:D)</f>
        <v>6</v>
      </c>
      <c r="F10">
        <f>_xlfn.XLOOKUP(C10,Sheet1!B:B,Sheet1!E:E)</f>
        <v>2</v>
      </c>
      <c r="G10">
        <f t="shared" si="0"/>
        <v>11</v>
      </c>
    </row>
    <row r="11" spans="1:7" x14ac:dyDescent="0.35">
      <c r="A11" t="s">
        <v>172</v>
      </c>
      <c r="B11" t="s">
        <v>54</v>
      </c>
      <c r="C11" t="s">
        <v>55</v>
      </c>
      <c r="D11">
        <f>_xlfn.XLOOKUP(C11,Sheet1!B:B,Sheet1!C:C)</f>
        <v>3</v>
      </c>
      <c r="E11">
        <f>_xlfn.XLOOKUP(C11,Sheet1!B:B,Sheet1!D:D)</f>
        <v>6</v>
      </c>
      <c r="F11">
        <f>_xlfn.XLOOKUP(C11,Sheet1!B:B,Sheet1!E:E)</f>
        <v>2</v>
      </c>
      <c r="G11">
        <f t="shared" si="0"/>
        <v>11</v>
      </c>
    </row>
    <row r="12" spans="1:7" x14ac:dyDescent="0.35">
      <c r="A12" t="s">
        <v>173</v>
      </c>
      <c r="B12" t="s">
        <v>40</v>
      </c>
      <c r="C12" t="s">
        <v>41</v>
      </c>
      <c r="D12">
        <f>_xlfn.XLOOKUP(C12,Sheet1!B:B,Sheet1!C:C)</f>
        <v>3</v>
      </c>
      <c r="E12">
        <f>_xlfn.XLOOKUP(C12,Sheet1!B:B,Sheet1!D:D)</f>
        <v>6</v>
      </c>
      <c r="F12">
        <f>_xlfn.XLOOKUP(C12,Sheet1!B:B,Sheet1!E:E)</f>
        <v>3</v>
      </c>
      <c r="G12">
        <f t="shared" si="0"/>
        <v>12</v>
      </c>
    </row>
    <row r="13" spans="1:7" x14ac:dyDescent="0.35">
      <c r="A13" t="s">
        <v>174</v>
      </c>
      <c r="B13" t="s">
        <v>16</v>
      </c>
      <c r="C13" t="s">
        <v>17</v>
      </c>
      <c r="D13">
        <f>_xlfn.XLOOKUP(C13,Sheet1!B:B,Sheet1!C:C)</f>
        <v>2</v>
      </c>
      <c r="E13">
        <f>_xlfn.XLOOKUP(C13,Sheet1!B:B,Sheet1!D:D)</f>
        <v>4</v>
      </c>
      <c r="F13">
        <f>_xlfn.XLOOKUP(C13,Sheet1!B:B,Sheet1!E:E)</f>
        <v>0</v>
      </c>
      <c r="G13">
        <f t="shared" si="0"/>
        <v>6</v>
      </c>
    </row>
    <row r="14" spans="1:7" x14ac:dyDescent="0.35">
      <c r="A14" t="s">
        <v>175</v>
      </c>
      <c r="B14" t="s">
        <v>36</v>
      </c>
      <c r="C14" t="s">
        <v>37</v>
      </c>
      <c r="D14">
        <f>_xlfn.XLOOKUP(C14,Sheet1!B:B,Sheet1!C:C)</f>
        <v>3</v>
      </c>
      <c r="E14">
        <f>_xlfn.XLOOKUP(C14,Sheet1!B:B,Sheet1!D:D)</f>
        <v>6</v>
      </c>
      <c r="F14">
        <f>_xlfn.XLOOKUP(C14,Sheet1!B:B,Sheet1!E:E)</f>
        <v>3</v>
      </c>
      <c r="G14">
        <f t="shared" si="0"/>
        <v>12</v>
      </c>
    </row>
    <row r="15" spans="1:7" x14ac:dyDescent="0.35">
      <c r="A15" t="s">
        <v>176</v>
      </c>
      <c r="B15" t="s">
        <v>25</v>
      </c>
      <c r="C15" t="s">
        <v>26</v>
      </c>
      <c r="D15">
        <f>_xlfn.XLOOKUP(C15,Sheet1!B:B,Sheet1!C:C)</f>
        <v>0</v>
      </c>
      <c r="E15">
        <f>_xlfn.XLOOKUP(C15,Sheet1!B:B,Sheet1!D:D)</f>
        <v>2</v>
      </c>
      <c r="F15">
        <f>_xlfn.XLOOKUP(C15,Sheet1!B:B,Sheet1!E:E)</f>
        <v>1</v>
      </c>
      <c r="G15">
        <f t="shared" si="0"/>
        <v>3</v>
      </c>
    </row>
    <row r="16" spans="1:7" x14ac:dyDescent="0.35">
      <c r="A16" t="s">
        <v>177</v>
      </c>
      <c r="B16" t="s">
        <v>38</v>
      </c>
      <c r="C16" t="s">
        <v>39</v>
      </c>
      <c r="D16">
        <f>_xlfn.XLOOKUP(C16,Sheet1!B:B,Sheet1!C:C)</f>
        <v>0</v>
      </c>
      <c r="E16">
        <f>_xlfn.XLOOKUP(C16,Sheet1!B:B,Sheet1!D:D)</f>
        <v>5</v>
      </c>
      <c r="F16">
        <f>_xlfn.XLOOKUP(C16,Sheet1!B:B,Sheet1!E:E)</f>
        <v>1</v>
      </c>
      <c r="G16">
        <f t="shared" si="0"/>
        <v>6</v>
      </c>
    </row>
    <row r="17" spans="1:7" x14ac:dyDescent="0.35">
      <c r="A17" t="s">
        <v>178</v>
      </c>
      <c r="B17" t="s">
        <v>30</v>
      </c>
      <c r="C17" t="s">
        <v>31</v>
      </c>
      <c r="D17">
        <f>_xlfn.XLOOKUP(C17,Sheet1!B:B,Sheet1!C:C)</f>
        <v>2</v>
      </c>
      <c r="E17">
        <f>_xlfn.XLOOKUP(C17,Sheet1!B:B,Sheet1!D:D)</f>
        <v>4</v>
      </c>
      <c r="F17">
        <f>_xlfn.XLOOKUP(C17,Sheet1!B:B,Sheet1!E:E)</f>
        <v>1</v>
      </c>
      <c r="G17">
        <f t="shared" si="0"/>
        <v>7</v>
      </c>
    </row>
    <row r="18" spans="1:7" x14ac:dyDescent="0.35">
      <c r="A18" t="s">
        <v>179</v>
      </c>
      <c r="B18" t="s">
        <v>32</v>
      </c>
      <c r="C18" t="s">
        <v>33</v>
      </c>
      <c r="D18">
        <f>_xlfn.XLOOKUP(C18,Sheet1!B:B,Sheet1!C:C)</f>
        <v>2</v>
      </c>
      <c r="E18">
        <f>_xlfn.XLOOKUP(C18,Sheet1!B:B,Sheet1!D:D)</f>
        <v>4</v>
      </c>
      <c r="F18">
        <f>_xlfn.XLOOKUP(C18,Sheet1!B:B,Sheet1!E:E)</f>
        <v>1</v>
      </c>
      <c r="G18">
        <f t="shared" si="0"/>
        <v>7</v>
      </c>
    </row>
    <row r="19" spans="1:7" x14ac:dyDescent="0.35">
      <c r="A19" t="s">
        <v>180</v>
      </c>
      <c r="B19" t="s">
        <v>46</v>
      </c>
      <c r="C19" t="s">
        <v>47</v>
      </c>
      <c r="D19">
        <f>_xlfn.XLOOKUP(C19,Sheet1!B:B,Sheet1!C:C)</f>
        <v>3</v>
      </c>
      <c r="E19">
        <f>_xlfn.XLOOKUP(C19,Sheet1!B:B,Sheet1!D:D)</f>
        <v>6</v>
      </c>
      <c r="F19">
        <f>_xlfn.XLOOKUP(C19,Sheet1!B:B,Sheet1!E:E)</f>
        <v>2</v>
      </c>
      <c r="G19">
        <f t="shared" si="0"/>
        <v>11</v>
      </c>
    </row>
    <row r="20" spans="1:7" x14ac:dyDescent="0.35">
      <c r="A20" t="s">
        <v>181</v>
      </c>
      <c r="B20" t="s">
        <v>22</v>
      </c>
      <c r="C20" t="s">
        <v>23</v>
      </c>
      <c r="D20">
        <f>_xlfn.XLOOKUP(C20,Sheet1!B:B,Sheet1!C:C)</f>
        <v>2</v>
      </c>
      <c r="E20">
        <f>_xlfn.XLOOKUP(C20,Sheet1!B:B,Sheet1!D:D)</f>
        <v>6</v>
      </c>
      <c r="F20">
        <f>_xlfn.XLOOKUP(C20,Sheet1!B:B,Sheet1!E:E)</f>
        <v>2</v>
      </c>
      <c r="G20">
        <f t="shared" si="0"/>
        <v>10</v>
      </c>
    </row>
    <row r="21" spans="1:7" x14ac:dyDescent="0.35">
      <c r="A21" t="s">
        <v>182</v>
      </c>
      <c r="B21" t="s">
        <v>28</v>
      </c>
      <c r="C21" t="s">
        <v>29</v>
      </c>
      <c r="D21">
        <f>_xlfn.XLOOKUP(C21,Sheet1!B:B,Sheet1!C:C)</f>
        <v>2</v>
      </c>
      <c r="E21">
        <f>_xlfn.XLOOKUP(C21,Sheet1!B:B,Sheet1!D:D)</f>
        <v>4</v>
      </c>
      <c r="F21">
        <f>_xlfn.XLOOKUP(C21,Sheet1!B:B,Sheet1!E:E)</f>
        <v>2</v>
      </c>
      <c r="G21">
        <f t="shared" si="0"/>
        <v>8</v>
      </c>
    </row>
    <row r="22" spans="1:7" x14ac:dyDescent="0.35">
      <c r="A22" t="s">
        <v>183</v>
      </c>
      <c r="B22" t="s">
        <v>49</v>
      </c>
      <c r="C22" t="s">
        <v>50</v>
      </c>
      <c r="D22">
        <f>_xlfn.XLOOKUP(C22,Sheet1!B:B,Sheet1!C:C)</f>
        <v>2</v>
      </c>
      <c r="E22">
        <f>_xlfn.XLOOKUP(C22,Sheet1!B:B,Sheet1!D:D)</f>
        <v>4</v>
      </c>
      <c r="F22">
        <f>_xlfn.XLOOKUP(C22,Sheet1!B:B,Sheet1!E:E)</f>
        <v>2</v>
      </c>
      <c r="G22">
        <f t="shared" si="0"/>
        <v>8</v>
      </c>
    </row>
    <row r="23" spans="1:7" x14ac:dyDescent="0.35">
      <c r="A23" t="s">
        <v>184</v>
      </c>
      <c r="B23" t="s">
        <v>123</v>
      </c>
      <c r="C23" t="s">
        <v>124</v>
      </c>
      <c r="D23">
        <f>_xlfn.XLOOKUP(C23,Sheet1!B:B,Sheet1!C:C)</f>
        <v>2</v>
      </c>
      <c r="E23">
        <f>_xlfn.XLOOKUP(C23,Sheet1!B:B,Sheet1!D:D)</f>
        <v>4</v>
      </c>
      <c r="F23">
        <f>_xlfn.XLOOKUP(C23,Sheet1!B:B,Sheet1!E:E)</f>
        <v>2</v>
      </c>
      <c r="G23">
        <f t="shared" si="0"/>
        <v>8</v>
      </c>
    </row>
    <row r="24" spans="1:7" x14ac:dyDescent="0.35">
      <c r="A24" t="s">
        <v>185</v>
      </c>
      <c r="B24" t="s">
        <v>145</v>
      </c>
      <c r="C24" t="s">
        <v>146</v>
      </c>
      <c r="D24">
        <f>_xlfn.XLOOKUP(C24,Sheet1!B:B,Sheet1!C:C)</f>
        <v>2</v>
      </c>
      <c r="E24">
        <f>_xlfn.XLOOKUP(C24,Sheet1!B:B,Sheet1!D:D)</f>
        <v>4</v>
      </c>
      <c r="F24">
        <f>_xlfn.XLOOKUP(C24,Sheet1!B:B,Sheet1!E:E)</f>
        <v>1</v>
      </c>
      <c r="G24">
        <f t="shared" si="0"/>
        <v>7</v>
      </c>
    </row>
    <row r="25" spans="1:7" x14ac:dyDescent="0.35">
      <c r="A25" t="s">
        <v>126</v>
      </c>
      <c r="B25" t="s">
        <v>126</v>
      </c>
      <c r="C25" t="s">
        <v>127</v>
      </c>
      <c r="D25">
        <f>_xlfn.XLOOKUP(C25,Sheet1!B:B,Sheet1!C:C)</f>
        <v>2</v>
      </c>
      <c r="E25">
        <f>_xlfn.XLOOKUP(C25,Sheet1!B:B,Sheet1!D:D)</f>
        <v>4</v>
      </c>
      <c r="F25">
        <f>_xlfn.XLOOKUP(C25,Sheet1!B:B,Sheet1!E:E)</f>
        <v>1</v>
      </c>
      <c r="G25">
        <f t="shared" si="0"/>
        <v>7</v>
      </c>
    </row>
    <row r="26" spans="1:7" x14ac:dyDescent="0.35">
      <c r="A26" t="s">
        <v>186</v>
      </c>
      <c r="B26" t="s">
        <v>51</v>
      </c>
      <c r="C26" t="s">
        <v>52</v>
      </c>
      <c r="D26">
        <f>_xlfn.XLOOKUP(C26,Sheet1!B:B,Sheet1!C:C)</f>
        <v>1</v>
      </c>
      <c r="E26">
        <f>_xlfn.XLOOKUP(C26,Sheet1!B:B,Sheet1!D:D)</f>
        <v>4</v>
      </c>
      <c r="F26">
        <f>_xlfn.XLOOKUP(C26,Sheet1!B:B,Sheet1!E:E)</f>
        <v>2</v>
      </c>
      <c r="G26">
        <f t="shared" si="0"/>
        <v>7</v>
      </c>
    </row>
    <row r="27" spans="1:7" x14ac:dyDescent="0.35">
      <c r="A27" t="s">
        <v>187</v>
      </c>
      <c r="B27" t="s">
        <v>42</v>
      </c>
      <c r="C27" t="s">
        <v>43</v>
      </c>
      <c r="D27">
        <f>_xlfn.XLOOKUP(C27,Sheet1!B:B,Sheet1!C:C)</f>
        <v>2</v>
      </c>
      <c r="E27">
        <f>_xlfn.XLOOKUP(C27,Sheet1!B:B,Sheet1!D:D)</f>
        <v>4</v>
      </c>
      <c r="F27">
        <f>_xlfn.XLOOKUP(C27,Sheet1!B:B,Sheet1!E:E)</f>
        <v>2</v>
      </c>
      <c r="G27">
        <f t="shared" si="0"/>
        <v>8</v>
      </c>
    </row>
    <row r="28" spans="1:7" x14ac:dyDescent="0.35">
      <c r="A28" t="s">
        <v>188</v>
      </c>
      <c r="B28" t="s">
        <v>44</v>
      </c>
      <c r="C28" t="s">
        <v>45</v>
      </c>
      <c r="D28">
        <f>_xlfn.XLOOKUP(C28,Sheet1!B:B,Sheet1!C:C)</f>
        <v>2</v>
      </c>
      <c r="E28">
        <f>_xlfn.XLOOKUP(C28,Sheet1!B:B,Sheet1!D:D)</f>
        <v>4</v>
      </c>
      <c r="F28">
        <f>_xlfn.XLOOKUP(C28,Sheet1!B:B,Sheet1!E:E)</f>
        <v>3</v>
      </c>
      <c r="G28">
        <f t="shared" si="0"/>
        <v>9</v>
      </c>
    </row>
    <row r="29" spans="1:7" x14ac:dyDescent="0.35">
      <c r="A29" t="s">
        <v>189</v>
      </c>
      <c r="B29" t="s">
        <v>119</v>
      </c>
      <c r="C29" t="s">
        <v>120</v>
      </c>
      <c r="D29">
        <f>_xlfn.XLOOKUP(C29,Sheet1!B:B,Sheet1!C:C)</f>
        <v>1</v>
      </c>
      <c r="E29">
        <f>_xlfn.XLOOKUP(C29,Sheet1!B:B,Sheet1!D:D)</f>
        <v>1</v>
      </c>
      <c r="F29">
        <f>_xlfn.XLOOKUP(C29,Sheet1!B:B,Sheet1!E:E)</f>
        <v>0</v>
      </c>
      <c r="G29">
        <f t="shared" si="0"/>
        <v>2</v>
      </c>
    </row>
    <row r="30" spans="1:7" x14ac:dyDescent="0.35">
      <c r="A30" t="s">
        <v>190</v>
      </c>
      <c r="B30" t="s">
        <v>216</v>
      </c>
      <c r="C30" t="s">
        <v>143</v>
      </c>
      <c r="D30">
        <f>_xlfn.XLOOKUP(C30,Sheet1!B:B,Sheet1!C:C)</f>
        <v>1</v>
      </c>
      <c r="E30">
        <f>_xlfn.XLOOKUP(C30,Sheet1!B:B,Sheet1!D:D)</f>
        <v>4</v>
      </c>
      <c r="F30">
        <f>_xlfn.XLOOKUP(C30,Sheet1!B:B,Sheet1!E:E)</f>
        <v>2</v>
      </c>
      <c r="G30">
        <f t="shared" si="0"/>
        <v>7</v>
      </c>
    </row>
    <row r="31" spans="1:7" x14ac:dyDescent="0.35">
      <c r="A31" t="s">
        <v>191</v>
      </c>
      <c r="B31" t="s">
        <v>66</v>
      </c>
      <c r="C31" t="s">
        <v>53</v>
      </c>
      <c r="D31">
        <f>_xlfn.XLOOKUP(C31,Sheet1!B:B,Sheet1!C:C)</f>
        <v>1</v>
      </c>
      <c r="E31">
        <f>_xlfn.XLOOKUP(C31,Sheet1!B:B,Sheet1!D:D)</f>
        <v>4</v>
      </c>
      <c r="F31">
        <f>_xlfn.XLOOKUP(C31,Sheet1!B:B,Sheet1!E:E)</f>
        <v>1</v>
      </c>
      <c r="G31">
        <f t="shared" si="0"/>
        <v>6</v>
      </c>
    </row>
    <row r="32" spans="1:7" x14ac:dyDescent="0.35">
      <c r="A32" t="s">
        <v>192</v>
      </c>
      <c r="B32" t="s">
        <v>104</v>
      </c>
      <c r="C32" t="s">
        <v>105</v>
      </c>
      <c r="D32">
        <f>_xlfn.XLOOKUP(C32,Sheet1!B:B,Sheet1!C:C)</f>
        <v>2</v>
      </c>
      <c r="E32">
        <f>_xlfn.XLOOKUP(C32,Sheet1!B:B,Sheet1!D:D)</f>
        <v>4</v>
      </c>
      <c r="F32">
        <f>_xlfn.XLOOKUP(C32,Sheet1!B:B,Sheet1!E:E)</f>
        <v>2</v>
      </c>
      <c r="G32">
        <f t="shared" si="0"/>
        <v>8</v>
      </c>
    </row>
    <row r="33" spans="1:7" x14ac:dyDescent="0.35">
      <c r="A33" t="s">
        <v>193</v>
      </c>
      <c r="B33" t="s">
        <v>140</v>
      </c>
      <c r="C33" t="s">
        <v>140</v>
      </c>
      <c r="D33">
        <f>_xlfn.XLOOKUP(C33,Sheet1!B:B,Sheet1!C:C)</f>
        <v>2</v>
      </c>
      <c r="E33">
        <f>_xlfn.XLOOKUP(C33,Sheet1!B:B,Sheet1!D:D)</f>
        <v>4</v>
      </c>
      <c r="F33">
        <f>_xlfn.XLOOKUP(C33,Sheet1!B:B,Sheet1!E:E)</f>
        <v>2</v>
      </c>
      <c r="G33">
        <f t="shared" si="0"/>
        <v>8</v>
      </c>
    </row>
    <row r="34" spans="1:7" x14ac:dyDescent="0.35">
      <c r="A34" t="s">
        <v>194</v>
      </c>
      <c r="B34" t="s">
        <v>115</v>
      </c>
      <c r="C34" t="s">
        <v>116</v>
      </c>
      <c r="D34">
        <f>_xlfn.XLOOKUP(C34,Sheet1!B:B,Sheet1!C:C)</f>
        <v>1</v>
      </c>
      <c r="E34">
        <f>_xlfn.XLOOKUP(C34,Sheet1!B:B,Sheet1!D:D)</f>
        <v>4</v>
      </c>
      <c r="F34">
        <f>_xlfn.XLOOKUP(C34,Sheet1!B:B,Sheet1!E:E)</f>
        <v>2</v>
      </c>
      <c r="G34">
        <f t="shared" si="0"/>
        <v>7</v>
      </c>
    </row>
    <row r="35" spans="1:7" x14ac:dyDescent="0.35">
      <c r="A35" t="s">
        <v>195</v>
      </c>
      <c r="B35" t="s">
        <v>97</v>
      </c>
      <c r="C35" t="s">
        <v>98</v>
      </c>
      <c r="D35">
        <f>_xlfn.XLOOKUP(C35,Sheet1!B:B,Sheet1!C:C)</f>
        <v>1</v>
      </c>
      <c r="E35">
        <f>_xlfn.XLOOKUP(C35,Sheet1!B:B,Sheet1!D:D)</f>
        <v>2</v>
      </c>
      <c r="F35">
        <f>_xlfn.XLOOKUP(C35,Sheet1!B:B,Sheet1!E:E)</f>
        <v>3</v>
      </c>
      <c r="G35">
        <f t="shared" si="0"/>
        <v>6</v>
      </c>
    </row>
    <row r="36" spans="1:7" x14ac:dyDescent="0.35">
      <c r="A36" t="s">
        <v>196</v>
      </c>
      <c r="B36" t="s">
        <v>217</v>
      </c>
      <c r="C36" t="s">
        <v>89</v>
      </c>
      <c r="D36">
        <f>_xlfn.XLOOKUP(C36,Sheet1!B:B,Sheet1!C:C)</f>
        <v>1</v>
      </c>
      <c r="E36">
        <f>_xlfn.XLOOKUP(C36,Sheet1!B:B,Sheet1!D:D)</f>
        <v>4</v>
      </c>
      <c r="F36">
        <f>_xlfn.XLOOKUP(C36,Sheet1!B:B,Sheet1!E:E)</f>
        <v>3</v>
      </c>
      <c r="G36">
        <f t="shared" si="0"/>
        <v>8</v>
      </c>
    </row>
    <row r="37" spans="1:7" x14ac:dyDescent="0.35">
      <c r="A37" t="s">
        <v>197</v>
      </c>
      <c r="B37" t="s">
        <v>70</v>
      </c>
      <c r="C37" t="s">
        <v>154</v>
      </c>
      <c r="D37">
        <f>_xlfn.XLOOKUP(C37,Sheet1!B:B,Sheet1!C:C)</f>
        <v>1</v>
      </c>
      <c r="E37">
        <f>_xlfn.XLOOKUP(C37,Sheet1!B:B,Sheet1!D:D)</f>
        <v>1</v>
      </c>
      <c r="F37">
        <f>_xlfn.XLOOKUP(C37,Sheet1!B:B,Sheet1!E:E)</f>
        <v>2</v>
      </c>
      <c r="G37">
        <f t="shared" si="0"/>
        <v>4</v>
      </c>
    </row>
    <row r="38" spans="1:7" x14ac:dyDescent="0.35">
      <c r="A38" t="s">
        <v>198</v>
      </c>
      <c r="B38" t="s">
        <v>8</v>
      </c>
      <c r="C38" t="s">
        <v>9</v>
      </c>
      <c r="D38">
        <f>_xlfn.XLOOKUP(C38,Sheet1!B:B,Sheet1!C:C)</f>
        <v>1</v>
      </c>
      <c r="E38">
        <f>_xlfn.XLOOKUP(C38,Sheet1!B:B,Sheet1!D:D)</f>
        <v>3</v>
      </c>
      <c r="F38">
        <f>_xlfn.XLOOKUP(C38,Sheet1!B:B,Sheet1!E:E)</f>
        <v>0</v>
      </c>
      <c r="G38">
        <f t="shared" si="0"/>
        <v>4</v>
      </c>
    </row>
    <row r="39" spans="1:7" x14ac:dyDescent="0.35">
      <c r="A39" t="s">
        <v>199</v>
      </c>
      <c r="B39" t="s">
        <v>13</v>
      </c>
      <c r="C39" t="s">
        <v>13</v>
      </c>
      <c r="D39">
        <f>_xlfn.XLOOKUP(C39,Sheet1!B:B,Sheet1!C:C)</f>
        <v>1</v>
      </c>
      <c r="E39">
        <f>_xlfn.XLOOKUP(C39,Sheet1!B:B,Sheet1!D:D)</f>
        <v>3</v>
      </c>
      <c r="F39">
        <f>_xlfn.XLOOKUP(C39,Sheet1!B:B,Sheet1!E:E)</f>
        <v>0</v>
      </c>
      <c r="G39">
        <f t="shared" si="0"/>
        <v>4</v>
      </c>
    </row>
    <row r="40" spans="1:7" x14ac:dyDescent="0.35">
      <c r="A40" t="s">
        <v>200</v>
      </c>
      <c r="B40" t="s">
        <v>65</v>
      </c>
      <c r="C40" t="s">
        <v>24</v>
      </c>
      <c r="D40">
        <f>_xlfn.XLOOKUP(C40,Sheet1!B:B,Sheet1!C:C)</f>
        <v>1</v>
      </c>
      <c r="E40">
        <f>_xlfn.XLOOKUP(C40,Sheet1!B:B,Sheet1!D:D)</f>
        <v>3</v>
      </c>
      <c r="F40">
        <f>_xlfn.XLOOKUP(C40,Sheet1!B:B,Sheet1!E:E)</f>
        <v>2</v>
      </c>
      <c r="G40">
        <f t="shared" si="0"/>
        <v>6</v>
      </c>
    </row>
    <row r="41" spans="1:7" x14ac:dyDescent="0.35">
      <c r="A41" t="s">
        <v>201</v>
      </c>
      <c r="B41" t="s">
        <v>110</v>
      </c>
      <c r="C41" t="s">
        <v>111</v>
      </c>
      <c r="D41">
        <f>_xlfn.XLOOKUP(C41,Sheet1!B:B,Sheet1!C:C)</f>
        <v>1</v>
      </c>
      <c r="E41">
        <f>_xlfn.XLOOKUP(C41,Sheet1!B:B,Sheet1!D:D)</f>
        <v>3</v>
      </c>
      <c r="F41">
        <f>_xlfn.XLOOKUP(C41,Sheet1!B:B,Sheet1!E:E)</f>
        <v>2</v>
      </c>
      <c r="G41">
        <f t="shared" si="0"/>
        <v>6</v>
      </c>
    </row>
    <row r="42" spans="1:7" x14ac:dyDescent="0.35">
      <c r="A42" t="s">
        <v>202</v>
      </c>
      <c r="B42" t="s">
        <v>203</v>
      </c>
      <c r="C42" t="s">
        <v>60</v>
      </c>
      <c r="D42">
        <f>_xlfn.XLOOKUP(C42,Sheet1!B:B,Sheet1!C:C)</f>
        <v>1</v>
      </c>
      <c r="E42">
        <f>_xlfn.XLOOKUP(C42,Sheet1!B:B,Sheet1!D:D)</f>
        <v>3</v>
      </c>
      <c r="F42">
        <f>_xlfn.XLOOKUP(C42,Sheet1!B:B,Sheet1!E:E)</f>
        <v>0</v>
      </c>
      <c r="G42">
        <f t="shared" si="0"/>
        <v>4</v>
      </c>
    </row>
    <row r="43" spans="1:7" x14ac:dyDescent="0.35">
      <c r="A43" t="s">
        <v>204</v>
      </c>
      <c r="B43" t="s">
        <v>82</v>
      </c>
      <c r="C43" t="s">
        <v>83</v>
      </c>
      <c r="D43">
        <f>_xlfn.XLOOKUP(C43,Sheet1!B:B,Sheet1!C:C)</f>
        <v>1</v>
      </c>
      <c r="E43">
        <f>_xlfn.XLOOKUP(C43,Sheet1!B:B,Sheet1!D:D)</f>
        <v>3</v>
      </c>
      <c r="F43">
        <f>_xlfn.XLOOKUP(C43,Sheet1!B:B,Sheet1!E:E)</f>
        <v>0</v>
      </c>
      <c r="G43">
        <f t="shared" si="0"/>
        <v>4</v>
      </c>
    </row>
    <row r="44" spans="1:7" x14ac:dyDescent="0.35">
      <c r="A44" t="s">
        <v>205</v>
      </c>
      <c r="B44" t="s">
        <v>58</v>
      </c>
      <c r="C44" t="s">
        <v>59</v>
      </c>
      <c r="D44">
        <f>_xlfn.XLOOKUP(C44,Sheet1!B:B,Sheet1!C:C)</f>
        <v>1</v>
      </c>
      <c r="E44">
        <f>_xlfn.XLOOKUP(C44,Sheet1!B:B,Sheet1!D:D)</f>
        <v>1</v>
      </c>
      <c r="F44">
        <f>_xlfn.XLOOKUP(C44,Sheet1!B:B,Sheet1!E:E)</f>
        <v>2</v>
      </c>
      <c r="G44">
        <f t="shared" si="0"/>
        <v>4</v>
      </c>
    </row>
    <row r="45" spans="1:7" x14ac:dyDescent="0.35">
      <c r="A45" t="s">
        <v>206</v>
      </c>
      <c r="B45" t="s">
        <v>56</v>
      </c>
      <c r="C45" t="s">
        <v>57</v>
      </c>
      <c r="D45">
        <f>_xlfn.XLOOKUP(C45,Sheet1!B:B,Sheet1!C:C)</f>
        <v>1</v>
      </c>
      <c r="E45">
        <f>_xlfn.XLOOKUP(C45,Sheet1!B:B,Sheet1!D:D)</f>
        <v>1</v>
      </c>
      <c r="F45">
        <f>_xlfn.XLOOKUP(C45,Sheet1!B:B,Sheet1!E:E)</f>
        <v>2</v>
      </c>
      <c r="G45">
        <f t="shared" si="0"/>
        <v>4</v>
      </c>
    </row>
    <row r="46" spans="1:7" x14ac:dyDescent="0.35">
      <c r="A46" t="s">
        <v>207</v>
      </c>
      <c r="B46" t="s">
        <v>156</v>
      </c>
      <c r="C46" t="s">
        <v>157</v>
      </c>
      <c r="D46">
        <f>_xlfn.XLOOKUP(C46,Sheet1!B:B,Sheet1!C:C)</f>
        <v>1</v>
      </c>
      <c r="E46">
        <f>_xlfn.XLOOKUP(C46,Sheet1!B:B,Sheet1!D:D)</f>
        <v>1</v>
      </c>
      <c r="F46">
        <f>_xlfn.XLOOKUP(C46,Sheet1!B:B,Sheet1!E:E)</f>
        <v>2</v>
      </c>
      <c r="G46">
        <f t="shared" si="0"/>
        <v>4</v>
      </c>
    </row>
    <row r="47" spans="1:7" x14ac:dyDescent="0.35">
      <c r="A47" t="s">
        <v>208</v>
      </c>
      <c r="B47" t="s">
        <v>159</v>
      </c>
      <c r="C47" t="s">
        <v>160</v>
      </c>
      <c r="D47">
        <f>_xlfn.XLOOKUP(C47,Sheet1!B:B,Sheet1!C:C)</f>
        <v>1</v>
      </c>
      <c r="E47">
        <f>_xlfn.XLOOKUP(C47,Sheet1!B:B,Sheet1!D:D)</f>
        <v>1</v>
      </c>
      <c r="F47">
        <f>_xlfn.XLOOKUP(C47,Sheet1!B:B,Sheet1!E:E)</f>
        <v>2</v>
      </c>
      <c r="G47">
        <f t="shared" si="0"/>
        <v>4</v>
      </c>
    </row>
    <row r="48" spans="1:7" x14ac:dyDescent="0.35">
      <c r="A48" t="s">
        <v>209</v>
      </c>
      <c r="B48" t="s">
        <v>210</v>
      </c>
      <c r="C48" t="s">
        <v>69</v>
      </c>
      <c r="D48">
        <f>_xlfn.XLOOKUP(C48,Sheet1!B:B,Sheet1!C:C)</f>
        <v>0</v>
      </c>
      <c r="E48">
        <f>_xlfn.XLOOKUP(C48,Sheet1!B:B,Sheet1!D:D)</f>
        <v>2</v>
      </c>
      <c r="F48">
        <f>_xlfn.XLOOKUP(C48,Sheet1!B:B,Sheet1!E:E)</f>
        <v>0</v>
      </c>
      <c r="G48">
        <f t="shared" si="0"/>
        <v>2</v>
      </c>
    </row>
    <row r="49" spans="1:7" x14ac:dyDescent="0.35">
      <c r="A49" t="s">
        <v>211</v>
      </c>
      <c r="B49" t="s">
        <v>212</v>
      </c>
      <c r="C49" t="s">
        <v>100</v>
      </c>
      <c r="D49">
        <f>_xlfn.XLOOKUP(C49,Sheet1!B:B,Sheet1!C:C)</f>
        <v>1</v>
      </c>
      <c r="E49">
        <f>_xlfn.XLOOKUP(C49,Sheet1!B:B,Sheet1!D:D)</f>
        <v>4</v>
      </c>
      <c r="F49">
        <f>_xlfn.XLOOKUP(C49,Sheet1!B:B,Sheet1!E:E)</f>
        <v>1</v>
      </c>
      <c r="G49">
        <f t="shared" si="0"/>
        <v>6</v>
      </c>
    </row>
    <row r="50" spans="1:7" x14ac:dyDescent="0.35">
      <c r="A50" t="s">
        <v>213</v>
      </c>
      <c r="B50" t="s">
        <v>214</v>
      </c>
      <c r="C50" t="s">
        <v>332</v>
      </c>
      <c r="D50">
        <f>_xlfn.XLOOKUP(C50,Sheet1!B:B,Sheet1!C:C)</f>
        <v>1</v>
      </c>
      <c r="E50">
        <f>_xlfn.XLOOKUP(C50,Sheet1!B:B,Sheet1!D:D)</f>
        <v>4</v>
      </c>
      <c r="F50">
        <f>_xlfn.XLOOKUP(C50,Sheet1!B:B,Sheet1!E:E)</f>
        <v>3</v>
      </c>
      <c r="G50">
        <f t="shared" si="0"/>
        <v>8</v>
      </c>
    </row>
    <row r="51" spans="1:7" x14ac:dyDescent="0.35">
      <c r="A51" t="s">
        <v>215</v>
      </c>
      <c r="B51" t="s">
        <v>135</v>
      </c>
      <c r="C51" t="s">
        <v>136</v>
      </c>
      <c r="D51">
        <f>_xlfn.XLOOKUP(C51,Sheet1!B:B,Sheet1!C:C)</f>
        <v>1</v>
      </c>
      <c r="E51">
        <f>_xlfn.XLOOKUP(C51,Sheet1!B:B,Sheet1!D:D)</f>
        <v>4</v>
      </c>
      <c r="F51">
        <f>_xlfn.XLOOKUP(C51,Sheet1!B:B,Sheet1!E:E)</f>
        <v>2</v>
      </c>
      <c r="G51">
        <f t="shared" si="0"/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6C34-0A7F-4DD3-A2B8-EB18453375CD}">
  <dimension ref="A1:F51"/>
  <sheetViews>
    <sheetView topLeftCell="A46" workbookViewId="0">
      <selection activeCell="D58" sqref="D58"/>
    </sheetView>
  </sheetViews>
  <sheetFormatPr defaultRowHeight="14.5" x14ac:dyDescent="0.35"/>
  <sheetData>
    <row r="1" spans="1:6" ht="42" x14ac:dyDescent="0.35">
      <c r="A1" s="1" t="s">
        <v>0</v>
      </c>
      <c r="B1" s="1" t="s">
        <v>218</v>
      </c>
      <c r="C1" s="1" t="s">
        <v>360</v>
      </c>
      <c r="D1" s="1" t="s">
        <v>361</v>
      </c>
      <c r="E1" s="1" t="s">
        <v>362</v>
      </c>
    </row>
    <row r="2" spans="1:6" ht="42" x14ac:dyDescent="0.35">
      <c r="A2" s="1" t="s">
        <v>336</v>
      </c>
      <c r="B2" s="1" t="str">
        <f>_xlfn.TEXTBEFORE(_xlfn.TEXTAFTER(A2,"("),")")</f>
        <v>ADA</v>
      </c>
      <c r="C2" s="2">
        <v>3</v>
      </c>
      <c r="D2" s="2">
        <v>6</v>
      </c>
      <c r="E2" s="2">
        <v>2</v>
      </c>
      <c r="F2" s="2"/>
    </row>
    <row r="3" spans="1:6" ht="28" x14ac:dyDescent="0.35">
      <c r="A3" s="1" t="s">
        <v>337</v>
      </c>
      <c r="B3" s="1" t="str">
        <f t="shared" ref="B3:B51" si="0">_xlfn.TEXTBEFORE(_xlfn.TEXTAFTER(A3,"("),")")</f>
        <v>XLM</v>
      </c>
      <c r="C3" s="2">
        <v>3</v>
      </c>
      <c r="D3" s="2">
        <v>6</v>
      </c>
      <c r="E3" s="2">
        <v>3</v>
      </c>
      <c r="F3" s="2"/>
    </row>
    <row r="4" spans="1:6" ht="42" x14ac:dyDescent="0.35">
      <c r="A4" s="1" t="s">
        <v>338</v>
      </c>
      <c r="B4" s="1" t="str">
        <f t="shared" si="0"/>
        <v>DOT</v>
      </c>
      <c r="C4" s="2">
        <v>2</v>
      </c>
      <c r="D4" s="2">
        <v>4</v>
      </c>
      <c r="E4" s="2">
        <v>3</v>
      </c>
      <c r="F4" s="2"/>
    </row>
    <row r="5" spans="1:6" ht="42" x14ac:dyDescent="0.35">
      <c r="A5" s="1" t="s">
        <v>339</v>
      </c>
      <c r="B5" s="1" t="str">
        <f t="shared" si="0"/>
        <v>HBAR</v>
      </c>
      <c r="C5" s="2">
        <v>3</v>
      </c>
      <c r="D5" s="2">
        <v>6</v>
      </c>
      <c r="E5" s="2">
        <v>3</v>
      </c>
      <c r="F5" s="2"/>
    </row>
    <row r="6" spans="1:6" ht="56" x14ac:dyDescent="0.35">
      <c r="A6" s="1" t="s">
        <v>340</v>
      </c>
      <c r="B6" s="1" t="str">
        <f t="shared" si="0"/>
        <v>ALGO</v>
      </c>
      <c r="C6" s="2">
        <v>3</v>
      </c>
      <c r="D6" s="2">
        <v>6</v>
      </c>
      <c r="E6" s="2">
        <v>2</v>
      </c>
      <c r="F6" s="2"/>
    </row>
    <row r="7" spans="1:6" ht="28" x14ac:dyDescent="0.35">
      <c r="A7" s="1" t="s">
        <v>341</v>
      </c>
      <c r="B7" s="1" t="str">
        <f t="shared" si="0"/>
        <v>FIL</v>
      </c>
      <c r="C7" s="2">
        <v>3</v>
      </c>
      <c r="D7" s="2">
        <v>6</v>
      </c>
      <c r="E7" s="2">
        <v>2</v>
      </c>
      <c r="F7" s="2"/>
    </row>
    <row r="8" spans="1:6" ht="70" x14ac:dyDescent="0.35">
      <c r="A8" s="1" t="s">
        <v>342</v>
      </c>
      <c r="B8" s="1" t="str">
        <f t="shared" si="0"/>
        <v>NEAR</v>
      </c>
      <c r="C8" s="2">
        <v>3</v>
      </c>
      <c r="D8" s="2">
        <v>6</v>
      </c>
      <c r="E8" s="2">
        <v>2</v>
      </c>
      <c r="F8" s="2"/>
    </row>
    <row r="9" spans="1:6" ht="42" x14ac:dyDescent="0.35">
      <c r="A9" s="1" t="s">
        <v>343</v>
      </c>
      <c r="B9" s="1" t="str">
        <f t="shared" si="0"/>
        <v>LINK</v>
      </c>
      <c r="C9" s="2">
        <v>2</v>
      </c>
      <c r="D9" s="2">
        <v>6</v>
      </c>
      <c r="E9" s="2">
        <v>2</v>
      </c>
      <c r="F9" s="2"/>
    </row>
    <row r="10" spans="1:6" ht="56" x14ac:dyDescent="0.35">
      <c r="A10" s="1" t="s">
        <v>344</v>
      </c>
      <c r="B10" s="1" t="str">
        <f t="shared" si="0"/>
        <v>ATOM</v>
      </c>
      <c r="C10" s="2">
        <v>2</v>
      </c>
      <c r="D10" s="2">
        <v>4</v>
      </c>
      <c r="E10" s="2">
        <v>2</v>
      </c>
      <c r="F10" s="2"/>
    </row>
    <row r="11" spans="1:6" ht="42" x14ac:dyDescent="0.35">
      <c r="A11" s="1" t="s">
        <v>345</v>
      </c>
      <c r="B11" s="1" t="str">
        <f t="shared" si="0"/>
        <v>AVAX</v>
      </c>
      <c r="C11" s="2">
        <v>2</v>
      </c>
      <c r="D11" s="2">
        <v>4</v>
      </c>
      <c r="E11" s="2">
        <v>2</v>
      </c>
      <c r="F11" s="2"/>
    </row>
    <row r="12" spans="1:6" ht="42" x14ac:dyDescent="0.35">
      <c r="A12" s="1" t="s">
        <v>346</v>
      </c>
      <c r="B12" s="1" t="str">
        <f t="shared" si="0"/>
        <v>ETH</v>
      </c>
      <c r="C12" s="2">
        <v>1</v>
      </c>
      <c r="D12" s="2">
        <v>4</v>
      </c>
      <c r="E12" s="2">
        <v>1</v>
      </c>
      <c r="F12" s="2"/>
    </row>
    <row r="13" spans="1:6" ht="28" x14ac:dyDescent="0.35">
      <c r="A13" s="1" t="s">
        <v>347</v>
      </c>
      <c r="B13" s="1" t="str">
        <f t="shared" si="0"/>
        <v>SOL</v>
      </c>
      <c r="C13" s="2">
        <v>2</v>
      </c>
      <c r="D13" s="2">
        <v>4</v>
      </c>
      <c r="E13" s="2">
        <v>1</v>
      </c>
      <c r="F13" s="2"/>
    </row>
    <row r="14" spans="1:6" ht="28" x14ac:dyDescent="0.35">
      <c r="A14" s="1" t="s">
        <v>348</v>
      </c>
      <c r="B14" s="1" t="str">
        <f t="shared" si="0"/>
        <v>APT</v>
      </c>
      <c r="C14" s="2">
        <v>2</v>
      </c>
      <c r="D14" s="2">
        <v>4</v>
      </c>
      <c r="E14" s="2">
        <v>1</v>
      </c>
      <c r="F14" s="2"/>
    </row>
    <row r="15" spans="1:6" ht="28" x14ac:dyDescent="0.35">
      <c r="A15" s="1" t="s">
        <v>349</v>
      </c>
      <c r="B15" s="1" t="str">
        <f t="shared" si="0"/>
        <v>SUI</v>
      </c>
      <c r="C15" s="2">
        <v>2</v>
      </c>
      <c r="D15" s="2">
        <v>4</v>
      </c>
      <c r="E15" s="2">
        <v>1</v>
      </c>
      <c r="F15" s="2"/>
    </row>
    <row r="16" spans="1:6" ht="42" x14ac:dyDescent="0.35">
      <c r="A16" s="1" t="s">
        <v>350</v>
      </c>
      <c r="B16" s="1" t="str">
        <f t="shared" si="0"/>
        <v>UNI</v>
      </c>
      <c r="C16" s="2">
        <v>2</v>
      </c>
      <c r="D16" s="2">
        <v>4</v>
      </c>
      <c r="E16" s="2">
        <v>2</v>
      </c>
      <c r="F16" s="2"/>
    </row>
    <row r="17" spans="1:6" ht="28" x14ac:dyDescent="0.35">
      <c r="A17" s="1" t="s">
        <v>351</v>
      </c>
      <c r="B17" s="1" t="str">
        <f t="shared" si="0"/>
        <v>AAVE</v>
      </c>
      <c r="C17" s="2">
        <v>2</v>
      </c>
      <c r="D17" s="2">
        <v>4</v>
      </c>
      <c r="E17" s="2">
        <v>2</v>
      </c>
      <c r="F17" s="2"/>
    </row>
    <row r="18" spans="1:6" ht="56" x14ac:dyDescent="0.35">
      <c r="A18" s="1" t="s">
        <v>352</v>
      </c>
      <c r="B18" s="1" t="str">
        <f t="shared" si="0"/>
        <v>COMP</v>
      </c>
      <c r="C18" s="2">
        <v>2</v>
      </c>
      <c r="D18" s="2">
        <v>4</v>
      </c>
      <c r="E18" s="2">
        <v>2</v>
      </c>
      <c r="F18" s="2"/>
    </row>
    <row r="19" spans="1:6" ht="28" x14ac:dyDescent="0.35">
      <c r="A19" s="1" t="s">
        <v>353</v>
      </c>
      <c r="B19" s="1" t="str">
        <f t="shared" si="0"/>
        <v>TRX</v>
      </c>
      <c r="C19" s="2">
        <v>2</v>
      </c>
      <c r="D19" s="2">
        <v>4</v>
      </c>
      <c r="E19" s="2">
        <v>0</v>
      </c>
      <c r="F19" s="2"/>
    </row>
    <row r="20" spans="1:6" ht="42" x14ac:dyDescent="0.35">
      <c r="A20" s="1" t="s">
        <v>354</v>
      </c>
      <c r="B20" s="1" t="str">
        <f t="shared" si="0"/>
        <v>BNB</v>
      </c>
      <c r="C20" s="2">
        <v>2</v>
      </c>
      <c r="D20" s="2">
        <v>4</v>
      </c>
      <c r="E20" s="2">
        <v>0</v>
      </c>
      <c r="F20" s="2"/>
    </row>
    <row r="21" spans="1:6" ht="28" x14ac:dyDescent="0.35">
      <c r="A21" s="1" t="s">
        <v>355</v>
      </c>
      <c r="B21" s="1" t="str">
        <f t="shared" si="0"/>
        <v>CRV</v>
      </c>
      <c r="C21" s="2">
        <v>2</v>
      </c>
      <c r="D21" s="2">
        <v>4</v>
      </c>
      <c r="E21" s="2">
        <v>1</v>
      </c>
      <c r="F21" s="2"/>
    </row>
    <row r="22" spans="1:6" ht="42" x14ac:dyDescent="0.35">
      <c r="A22" s="1" t="s">
        <v>356</v>
      </c>
      <c r="B22" s="1" t="str">
        <f t="shared" si="0"/>
        <v>1INCH</v>
      </c>
      <c r="C22" s="2">
        <v>2</v>
      </c>
      <c r="D22" s="2">
        <v>4</v>
      </c>
      <c r="E22" s="2">
        <v>1</v>
      </c>
      <c r="F22" s="2"/>
    </row>
    <row r="23" spans="1:6" ht="28" x14ac:dyDescent="0.35">
      <c r="A23" s="1" t="s">
        <v>357</v>
      </c>
      <c r="B23" s="1" t="str">
        <f t="shared" si="0"/>
        <v>BTC</v>
      </c>
      <c r="C23" s="2">
        <v>0</v>
      </c>
      <c r="D23" s="2">
        <v>2</v>
      </c>
      <c r="E23" s="2">
        <v>1</v>
      </c>
      <c r="F23" s="2"/>
    </row>
    <row r="24" spans="1:6" ht="42" x14ac:dyDescent="0.35">
      <c r="A24" s="1" t="s">
        <v>358</v>
      </c>
      <c r="B24" s="1" t="str">
        <f t="shared" si="0"/>
        <v>LTC</v>
      </c>
      <c r="C24" s="2">
        <v>0</v>
      </c>
      <c r="D24" s="2">
        <v>2</v>
      </c>
      <c r="E24" s="2">
        <v>1</v>
      </c>
      <c r="F24" s="2"/>
    </row>
    <row r="25" spans="1:6" ht="42" x14ac:dyDescent="0.35">
      <c r="A25" s="1" t="s">
        <v>359</v>
      </c>
      <c r="B25" s="1" t="str">
        <f t="shared" si="0"/>
        <v>XMR</v>
      </c>
      <c r="C25" s="2">
        <v>0</v>
      </c>
      <c r="D25" s="2">
        <v>5</v>
      </c>
      <c r="E25" s="2">
        <v>1</v>
      </c>
      <c r="F25" s="2"/>
    </row>
    <row r="26" spans="1:6" ht="42" x14ac:dyDescent="0.35">
      <c r="A26" s="1" t="s">
        <v>363</v>
      </c>
      <c r="B26" s="1" t="str">
        <f t="shared" si="0"/>
        <v>OP</v>
      </c>
      <c r="C26" s="2">
        <v>2</v>
      </c>
      <c r="D26" s="2">
        <v>4</v>
      </c>
      <c r="E26" s="2">
        <v>3</v>
      </c>
    </row>
    <row r="27" spans="1:6" ht="42" x14ac:dyDescent="0.35">
      <c r="A27" s="1" t="s">
        <v>364</v>
      </c>
      <c r="B27" s="1" t="str">
        <f t="shared" si="0"/>
        <v>ARB</v>
      </c>
      <c r="C27" s="2">
        <v>2</v>
      </c>
      <c r="D27" s="2">
        <v>4</v>
      </c>
      <c r="E27" s="2">
        <v>2</v>
      </c>
    </row>
    <row r="28" spans="1:6" x14ac:dyDescent="0.35">
      <c r="A28" s="1" t="s">
        <v>89</v>
      </c>
      <c r="B28" s="1" t="s">
        <v>89</v>
      </c>
      <c r="C28" s="2">
        <v>1</v>
      </c>
      <c r="D28" s="2">
        <v>4</v>
      </c>
      <c r="E28" s="2">
        <v>3</v>
      </c>
    </row>
    <row r="29" spans="1:6" ht="28" x14ac:dyDescent="0.35">
      <c r="A29" s="1" t="s">
        <v>365</v>
      </c>
      <c r="B29" s="1" t="str">
        <f t="shared" si="0"/>
        <v>W</v>
      </c>
      <c r="C29" s="2">
        <v>1</v>
      </c>
      <c r="D29" s="2">
        <v>4</v>
      </c>
      <c r="E29" s="2">
        <v>2</v>
      </c>
    </row>
    <row r="30" spans="1:6" ht="42" x14ac:dyDescent="0.35">
      <c r="A30" s="1" t="s">
        <v>366</v>
      </c>
      <c r="B30" s="1" t="str">
        <f t="shared" si="0"/>
        <v>GRT</v>
      </c>
      <c r="C30" s="2">
        <v>1</v>
      </c>
      <c r="D30" s="2">
        <v>4</v>
      </c>
      <c r="E30" s="2">
        <v>2</v>
      </c>
    </row>
    <row r="31" spans="1:6" ht="42" x14ac:dyDescent="0.35">
      <c r="A31" s="1" t="s">
        <v>367</v>
      </c>
      <c r="B31" s="1" t="str">
        <f t="shared" si="0"/>
        <v>DYDX</v>
      </c>
      <c r="C31" s="2">
        <v>2</v>
      </c>
      <c r="D31" s="2">
        <v>4</v>
      </c>
      <c r="E31" s="2">
        <v>2</v>
      </c>
    </row>
    <row r="32" spans="1:6" ht="28" x14ac:dyDescent="0.35">
      <c r="A32" s="1" t="s">
        <v>368</v>
      </c>
      <c r="B32" s="1" t="str">
        <f t="shared" si="0"/>
        <v>GMX</v>
      </c>
      <c r="C32" s="2">
        <v>2</v>
      </c>
      <c r="D32" s="2">
        <v>4</v>
      </c>
      <c r="E32" s="2">
        <v>2</v>
      </c>
    </row>
    <row r="33" spans="1:5" ht="42" x14ac:dyDescent="0.35">
      <c r="A33" s="1" t="s">
        <v>369</v>
      </c>
      <c r="B33" s="1" t="str">
        <f t="shared" si="0"/>
        <v>PENDLE</v>
      </c>
      <c r="C33" s="2">
        <v>1</v>
      </c>
      <c r="D33" s="2">
        <v>4</v>
      </c>
      <c r="E33" s="2">
        <v>2</v>
      </c>
    </row>
    <row r="34" spans="1:5" ht="28" x14ac:dyDescent="0.35">
      <c r="A34" s="1" t="s">
        <v>370</v>
      </c>
      <c r="B34" s="1" t="str">
        <f t="shared" si="0"/>
        <v>YFI</v>
      </c>
      <c r="C34" s="2">
        <v>1</v>
      </c>
      <c r="D34" s="2">
        <v>4</v>
      </c>
      <c r="E34" s="2">
        <v>2</v>
      </c>
    </row>
    <row r="35" spans="1:5" ht="28" x14ac:dyDescent="0.35">
      <c r="A35" s="1" t="s">
        <v>371</v>
      </c>
      <c r="B35" s="1" t="str">
        <f t="shared" si="0"/>
        <v>MKR</v>
      </c>
      <c r="C35" s="2">
        <v>1</v>
      </c>
      <c r="D35" s="2">
        <v>4</v>
      </c>
      <c r="E35" s="2">
        <v>1</v>
      </c>
    </row>
    <row r="36" spans="1:5" ht="42" x14ac:dyDescent="0.35">
      <c r="A36" s="1" t="s">
        <v>372</v>
      </c>
      <c r="B36" s="1" t="str">
        <f t="shared" si="0"/>
        <v>rETH</v>
      </c>
      <c r="C36" s="2">
        <v>1</v>
      </c>
      <c r="D36" s="2">
        <v>4</v>
      </c>
      <c r="E36" s="2">
        <v>3</v>
      </c>
    </row>
    <row r="37" spans="1:5" ht="42" x14ac:dyDescent="0.35">
      <c r="A37" s="1" t="s">
        <v>373</v>
      </c>
      <c r="B37" s="1" t="str">
        <f t="shared" si="0"/>
        <v>stETH</v>
      </c>
      <c r="C37" s="2">
        <v>1</v>
      </c>
      <c r="D37" s="2">
        <v>4</v>
      </c>
      <c r="E37" s="2">
        <v>1</v>
      </c>
    </row>
    <row r="38" spans="1:5" ht="28" x14ac:dyDescent="0.35">
      <c r="A38" s="1" t="s">
        <v>374</v>
      </c>
      <c r="B38" s="1" t="str">
        <f t="shared" si="0"/>
        <v>DAI</v>
      </c>
      <c r="C38" s="2">
        <v>1</v>
      </c>
      <c r="D38" s="2">
        <v>3</v>
      </c>
      <c r="E38" s="2">
        <v>2</v>
      </c>
    </row>
    <row r="39" spans="1:5" ht="28" x14ac:dyDescent="0.35">
      <c r="A39" s="1" t="s">
        <v>375</v>
      </c>
      <c r="B39" s="1" t="str">
        <f t="shared" si="0"/>
        <v>FRAX</v>
      </c>
      <c r="C39" s="2">
        <v>1</v>
      </c>
      <c r="D39" s="2">
        <v>3</v>
      </c>
      <c r="E39" s="2">
        <v>2</v>
      </c>
    </row>
    <row r="40" spans="1:5" x14ac:dyDescent="0.35">
      <c r="A40" s="1" t="s">
        <v>13</v>
      </c>
      <c r="B40" s="1" t="s">
        <v>13</v>
      </c>
      <c r="C40" s="2">
        <v>1</v>
      </c>
      <c r="D40" s="2">
        <v>3</v>
      </c>
      <c r="E40" s="2">
        <v>0</v>
      </c>
    </row>
    <row r="41" spans="1:5" x14ac:dyDescent="0.35">
      <c r="A41" s="1" t="s">
        <v>9</v>
      </c>
      <c r="B41" s="1" t="s">
        <v>9</v>
      </c>
      <c r="C41" s="2">
        <v>1</v>
      </c>
      <c r="D41" s="2">
        <v>3</v>
      </c>
      <c r="E41" s="2">
        <v>0</v>
      </c>
    </row>
    <row r="42" spans="1:5" ht="28" x14ac:dyDescent="0.35">
      <c r="A42" s="1" t="s">
        <v>60</v>
      </c>
      <c r="B42" s="1" t="s">
        <v>60</v>
      </c>
      <c r="C42" s="2">
        <v>1</v>
      </c>
      <c r="D42" s="2">
        <v>3</v>
      </c>
      <c r="E42" s="2">
        <v>0</v>
      </c>
    </row>
    <row r="43" spans="1:5" ht="28" x14ac:dyDescent="0.35">
      <c r="A43" s="1" t="s">
        <v>83</v>
      </c>
      <c r="B43" s="1" t="s">
        <v>83</v>
      </c>
      <c r="C43" s="2">
        <v>1</v>
      </c>
      <c r="D43" s="2">
        <v>3</v>
      </c>
      <c r="E43" s="2">
        <v>0</v>
      </c>
    </row>
    <row r="44" spans="1:5" ht="42" x14ac:dyDescent="0.35">
      <c r="A44" s="1" t="s">
        <v>376</v>
      </c>
      <c r="B44" s="1" t="str">
        <f t="shared" si="0"/>
        <v>ONDO</v>
      </c>
      <c r="C44" s="2">
        <v>1</v>
      </c>
      <c r="D44" s="2">
        <v>2</v>
      </c>
      <c r="E44" s="2">
        <v>3</v>
      </c>
    </row>
    <row r="45" spans="1:5" ht="70" x14ac:dyDescent="0.35">
      <c r="A45" s="1" t="s">
        <v>377</v>
      </c>
      <c r="B45" s="1" t="str">
        <f t="shared" si="0"/>
        <v>WBTC</v>
      </c>
      <c r="C45" s="2">
        <v>0</v>
      </c>
      <c r="D45" s="2">
        <v>2</v>
      </c>
      <c r="E45" s="2">
        <v>0</v>
      </c>
    </row>
    <row r="46" spans="1:5" ht="42" x14ac:dyDescent="0.35">
      <c r="A46" s="1" t="s">
        <v>378</v>
      </c>
      <c r="B46" s="1" t="str">
        <f t="shared" si="0"/>
        <v>APE</v>
      </c>
      <c r="C46" s="2">
        <v>1</v>
      </c>
      <c r="D46" s="2">
        <v>1</v>
      </c>
      <c r="E46" s="2">
        <v>2</v>
      </c>
    </row>
    <row r="47" spans="1:5" ht="56" x14ac:dyDescent="0.35">
      <c r="A47" s="1" t="s">
        <v>379</v>
      </c>
      <c r="B47" s="1" t="str">
        <f t="shared" si="0"/>
        <v>MANA</v>
      </c>
      <c r="C47" s="2">
        <v>1</v>
      </c>
      <c r="D47" s="2">
        <v>1</v>
      </c>
      <c r="E47" s="2">
        <v>2</v>
      </c>
    </row>
    <row r="48" spans="1:5" ht="70" x14ac:dyDescent="0.35">
      <c r="A48" s="1" t="s">
        <v>380</v>
      </c>
      <c r="B48" s="1" t="str">
        <f t="shared" si="0"/>
        <v>SAND</v>
      </c>
      <c r="C48" s="2">
        <v>1</v>
      </c>
      <c r="D48" s="2">
        <v>1</v>
      </c>
      <c r="E48" s="2">
        <v>2</v>
      </c>
    </row>
    <row r="49" spans="1:5" ht="28" x14ac:dyDescent="0.35">
      <c r="A49" s="1" t="s">
        <v>381</v>
      </c>
      <c r="B49" s="1" t="str">
        <f t="shared" si="0"/>
        <v>BLUR</v>
      </c>
      <c r="C49" s="2">
        <v>1</v>
      </c>
      <c r="D49" s="2">
        <v>1</v>
      </c>
      <c r="E49" s="2">
        <v>2</v>
      </c>
    </row>
    <row r="50" spans="1:5" ht="56" x14ac:dyDescent="0.35">
      <c r="A50" s="1" t="s">
        <v>382</v>
      </c>
      <c r="B50" s="1" t="str">
        <f t="shared" si="0"/>
        <v>LOOKS</v>
      </c>
      <c r="C50" s="2">
        <v>1</v>
      </c>
      <c r="D50" s="2">
        <v>1</v>
      </c>
      <c r="E50" s="2">
        <v>2</v>
      </c>
    </row>
    <row r="51" spans="1:5" ht="56" x14ac:dyDescent="0.35">
      <c r="A51" s="1" t="s">
        <v>383</v>
      </c>
      <c r="B51" s="1" t="str">
        <f t="shared" si="0"/>
        <v>BAT</v>
      </c>
      <c r="C51" s="2">
        <v>1</v>
      </c>
      <c r="D51" s="2">
        <v>1</v>
      </c>
      <c r="E51" s="2">
        <v>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5974-E872-41DD-B94C-41C42537E7EC}">
  <dimension ref="A1:H51"/>
  <sheetViews>
    <sheetView workbookViewId="0">
      <selection activeCell="A23" sqref="A23"/>
    </sheetView>
  </sheetViews>
  <sheetFormatPr defaultRowHeight="14.5" x14ac:dyDescent="0.35"/>
  <sheetData>
    <row r="1" spans="1:8" ht="42.5" thickBot="1" x14ac:dyDescent="0.4">
      <c r="A1" s="3" t="s">
        <v>0</v>
      </c>
      <c r="B1" s="3" t="s">
        <v>72</v>
      </c>
      <c r="C1" s="3" t="s">
        <v>276</v>
      </c>
      <c r="D1" s="3" t="s">
        <v>277</v>
      </c>
      <c r="E1" s="3" t="s">
        <v>2</v>
      </c>
      <c r="F1" s="3" t="s">
        <v>278</v>
      </c>
      <c r="G1" s="3" t="s">
        <v>279</v>
      </c>
      <c r="H1" s="1"/>
    </row>
    <row r="2" spans="1:8" ht="112.5" thickBot="1" x14ac:dyDescent="0.4">
      <c r="A2" s="3" t="s">
        <v>15</v>
      </c>
      <c r="B2" s="4" t="s">
        <v>14</v>
      </c>
      <c r="C2" s="4">
        <v>3</v>
      </c>
      <c r="D2" s="4">
        <v>4</v>
      </c>
      <c r="E2" s="4">
        <v>2</v>
      </c>
      <c r="F2" s="3">
        <v>9</v>
      </c>
      <c r="G2" s="4" t="s">
        <v>280</v>
      </c>
      <c r="H2" s="2"/>
    </row>
    <row r="3" spans="1:8" ht="140.5" thickBot="1" x14ac:dyDescent="0.4">
      <c r="A3" s="3" t="s">
        <v>21</v>
      </c>
      <c r="B3" s="4" t="s">
        <v>20</v>
      </c>
      <c r="C3" s="4">
        <v>3</v>
      </c>
      <c r="D3" s="4">
        <v>4</v>
      </c>
      <c r="E3" s="4">
        <v>2</v>
      </c>
      <c r="F3" s="3">
        <v>9</v>
      </c>
      <c r="G3" s="4" t="s">
        <v>281</v>
      </c>
      <c r="H3" s="2"/>
    </row>
    <row r="4" spans="1:8" ht="112.5" thickBot="1" x14ac:dyDescent="0.4">
      <c r="A4" s="3" t="s">
        <v>45</v>
      </c>
      <c r="B4" s="4" t="s">
        <v>44</v>
      </c>
      <c r="C4" s="4">
        <v>3</v>
      </c>
      <c r="D4" s="4">
        <v>4</v>
      </c>
      <c r="E4" s="4">
        <v>2</v>
      </c>
      <c r="F4" s="3">
        <v>9</v>
      </c>
      <c r="G4" s="4" t="s">
        <v>282</v>
      </c>
      <c r="H4" s="2"/>
    </row>
    <row r="5" spans="1:8" ht="126.5" thickBot="1" x14ac:dyDescent="0.4">
      <c r="A5" s="3" t="s">
        <v>7</v>
      </c>
      <c r="B5" s="4" t="s">
        <v>6</v>
      </c>
      <c r="C5" s="4">
        <v>3</v>
      </c>
      <c r="D5" s="4">
        <v>3</v>
      </c>
      <c r="E5" s="4">
        <v>2</v>
      </c>
      <c r="F5" s="3">
        <v>8</v>
      </c>
      <c r="G5" s="4" t="s">
        <v>283</v>
      </c>
      <c r="H5" s="2"/>
    </row>
    <row r="6" spans="1:8" ht="126.5" thickBot="1" x14ac:dyDescent="0.4">
      <c r="A6" s="3" t="s">
        <v>35</v>
      </c>
      <c r="B6" s="4" t="s">
        <v>34</v>
      </c>
      <c r="C6" s="4">
        <v>3</v>
      </c>
      <c r="D6" s="4">
        <v>3</v>
      </c>
      <c r="E6" s="4">
        <v>2</v>
      </c>
      <c r="F6" s="3">
        <v>8</v>
      </c>
      <c r="G6" s="4" t="s">
        <v>284</v>
      </c>
      <c r="H6" s="2"/>
    </row>
    <row r="7" spans="1:8" ht="140.5" thickBot="1" x14ac:dyDescent="0.4">
      <c r="A7" s="3" t="s">
        <v>52</v>
      </c>
      <c r="B7" s="4" t="s">
        <v>51</v>
      </c>
      <c r="C7" s="4">
        <v>3</v>
      </c>
      <c r="D7" s="4">
        <v>3</v>
      </c>
      <c r="E7" s="4">
        <v>2</v>
      </c>
      <c r="F7" s="3">
        <v>8</v>
      </c>
      <c r="G7" s="4" t="s">
        <v>285</v>
      </c>
      <c r="H7" s="2"/>
    </row>
    <row r="8" spans="1:8" ht="112.5" thickBot="1" x14ac:dyDescent="0.4">
      <c r="A8" s="3" t="s">
        <v>43</v>
      </c>
      <c r="B8" s="4" t="s">
        <v>42</v>
      </c>
      <c r="C8" s="4">
        <v>3</v>
      </c>
      <c r="D8" s="4">
        <v>3</v>
      </c>
      <c r="E8" s="4">
        <v>2</v>
      </c>
      <c r="F8" s="3">
        <v>8</v>
      </c>
      <c r="G8" s="4" t="s">
        <v>286</v>
      </c>
      <c r="H8" s="2"/>
    </row>
    <row r="9" spans="1:8" ht="126.5" thickBot="1" x14ac:dyDescent="0.4">
      <c r="A9" s="3" t="s">
        <v>98</v>
      </c>
      <c r="B9" s="4" t="s">
        <v>97</v>
      </c>
      <c r="C9" s="4">
        <v>4</v>
      </c>
      <c r="D9" s="4">
        <v>2</v>
      </c>
      <c r="E9" s="4">
        <v>2</v>
      </c>
      <c r="F9" s="3">
        <v>8</v>
      </c>
      <c r="G9" s="4" t="s">
        <v>287</v>
      </c>
      <c r="H9" s="2"/>
    </row>
    <row r="10" spans="1:8" ht="112.5" thickBot="1" x14ac:dyDescent="0.4">
      <c r="A10" s="3" t="s">
        <v>89</v>
      </c>
      <c r="B10" s="4" t="s">
        <v>89</v>
      </c>
      <c r="C10" s="4">
        <v>3</v>
      </c>
      <c r="D10" s="4">
        <v>3</v>
      </c>
      <c r="E10" s="4">
        <v>2</v>
      </c>
      <c r="F10" s="3">
        <v>8</v>
      </c>
      <c r="G10" s="4" t="s">
        <v>288</v>
      </c>
      <c r="H10" s="2"/>
    </row>
    <row r="11" spans="1:8" ht="98.5" thickBot="1" x14ac:dyDescent="0.4">
      <c r="A11" s="3" t="s">
        <v>105</v>
      </c>
      <c r="B11" s="4" t="s">
        <v>104</v>
      </c>
      <c r="C11" s="4">
        <v>3</v>
      </c>
      <c r="D11" s="4">
        <v>3</v>
      </c>
      <c r="E11" s="4">
        <v>2</v>
      </c>
      <c r="F11" s="3">
        <v>8</v>
      </c>
      <c r="G11" s="4" t="s">
        <v>289</v>
      </c>
      <c r="H11" s="2"/>
    </row>
    <row r="12" spans="1:8" ht="126.5" thickBot="1" x14ac:dyDescent="0.4">
      <c r="A12" s="3" t="s">
        <v>29</v>
      </c>
      <c r="B12" s="4" t="s">
        <v>28</v>
      </c>
      <c r="C12" s="4">
        <v>2</v>
      </c>
      <c r="D12" s="4">
        <v>3</v>
      </c>
      <c r="E12" s="4">
        <v>2</v>
      </c>
      <c r="F12" s="3">
        <v>7</v>
      </c>
      <c r="G12" s="4" t="s">
        <v>290</v>
      </c>
      <c r="H12" s="2"/>
    </row>
    <row r="13" spans="1:8" ht="98.5" thickBot="1" x14ac:dyDescent="0.4">
      <c r="A13" s="3" t="s">
        <v>50</v>
      </c>
      <c r="B13" s="4" t="s">
        <v>49</v>
      </c>
      <c r="C13" s="4">
        <v>2</v>
      </c>
      <c r="D13" s="4">
        <v>3</v>
      </c>
      <c r="E13" s="4">
        <v>2</v>
      </c>
      <c r="F13" s="3">
        <v>7</v>
      </c>
      <c r="G13" s="4" t="s">
        <v>291</v>
      </c>
      <c r="H13" s="2"/>
    </row>
    <row r="14" spans="1:8" ht="112.5" thickBot="1" x14ac:dyDescent="0.4">
      <c r="A14" s="3" t="s">
        <v>53</v>
      </c>
      <c r="B14" s="4" t="s">
        <v>66</v>
      </c>
      <c r="C14" s="4">
        <v>2</v>
      </c>
      <c r="D14" s="4">
        <v>3</v>
      </c>
      <c r="E14" s="4">
        <v>2</v>
      </c>
      <c r="F14" s="3">
        <v>7</v>
      </c>
      <c r="G14" s="4" t="s">
        <v>292</v>
      </c>
      <c r="H14" s="2"/>
    </row>
    <row r="15" spans="1:8" ht="140.5" thickBot="1" x14ac:dyDescent="0.4">
      <c r="A15" s="3" t="s">
        <v>146</v>
      </c>
      <c r="B15" s="4" t="s">
        <v>293</v>
      </c>
      <c r="C15" s="4">
        <v>2</v>
      </c>
      <c r="D15" s="4">
        <v>4</v>
      </c>
      <c r="E15" s="4">
        <v>1</v>
      </c>
      <c r="F15" s="3">
        <v>7</v>
      </c>
      <c r="G15" s="4" t="s">
        <v>294</v>
      </c>
      <c r="H15" s="2"/>
    </row>
    <row r="16" spans="1:8" ht="112.5" thickBot="1" x14ac:dyDescent="0.4">
      <c r="A16" s="3" t="s">
        <v>27</v>
      </c>
      <c r="B16" s="4" t="s">
        <v>27</v>
      </c>
      <c r="C16" s="4">
        <v>3</v>
      </c>
      <c r="D16" s="4">
        <v>3</v>
      </c>
      <c r="E16" s="4">
        <v>1</v>
      </c>
      <c r="F16" s="3">
        <v>7</v>
      </c>
      <c r="G16" s="4" t="s">
        <v>295</v>
      </c>
      <c r="H16" s="2"/>
    </row>
    <row r="17" spans="1:8" ht="112.5" thickBot="1" x14ac:dyDescent="0.4">
      <c r="A17" s="3" t="s">
        <v>55</v>
      </c>
      <c r="B17" s="4" t="s">
        <v>54</v>
      </c>
      <c r="C17" s="4">
        <v>2</v>
      </c>
      <c r="D17" s="4">
        <v>3</v>
      </c>
      <c r="E17" s="4">
        <v>2</v>
      </c>
      <c r="F17" s="3">
        <v>7</v>
      </c>
      <c r="G17" s="4" t="s">
        <v>296</v>
      </c>
      <c r="H17" s="2"/>
    </row>
    <row r="18" spans="1:8" ht="112.5" thickBot="1" x14ac:dyDescent="0.4">
      <c r="A18" s="3" t="s">
        <v>41</v>
      </c>
      <c r="B18" s="4" t="s">
        <v>40</v>
      </c>
      <c r="C18" s="4">
        <v>4</v>
      </c>
      <c r="D18" s="4">
        <v>1</v>
      </c>
      <c r="E18" s="4">
        <v>2</v>
      </c>
      <c r="F18" s="3">
        <v>7</v>
      </c>
      <c r="G18" s="4" t="s">
        <v>297</v>
      </c>
      <c r="H18" s="2"/>
    </row>
    <row r="19" spans="1:8" ht="112.5" thickBot="1" x14ac:dyDescent="0.4">
      <c r="A19" s="3" t="s">
        <v>47</v>
      </c>
      <c r="B19" s="4" t="s">
        <v>46</v>
      </c>
      <c r="C19" s="4">
        <v>3</v>
      </c>
      <c r="D19" s="4">
        <v>2</v>
      </c>
      <c r="E19" s="4">
        <v>2</v>
      </c>
      <c r="F19" s="3">
        <v>7</v>
      </c>
      <c r="G19" s="4" t="s">
        <v>298</v>
      </c>
      <c r="H19" s="2"/>
    </row>
    <row r="20" spans="1:8" ht="70.5" thickBot="1" x14ac:dyDescent="0.4">
      <c r="A20" s="3" t="s">
        <v>24</v>
      </c>
      <c r="B20" s="4" t="s">
        <v>65</v>
      </c>
      <c r="C20" s="4">
        <v>2</v>
      </c>
      <c r="D20" s="4">
        <v>3</v>
      </c>
      <c r="E20" s="4">
        <v>2</v>
      </c>
      <c r="F20" s="3">
        <v>7</v>
      </c>
      <c r="G20" s="4" t="s">
        <v>299</v>
      </c>
      <c r="H20" s="2"/>
    </row>
    <row r="21" spans="1:8" ht="98.5" thickBot="1" x14ac:dyDescent="0.4">
      <c r="A21" s="3" t="s">
        <v>111</v>
      </c>
      <c r="B21" s="4" t="s">
        <v>110</v>
      </c>
      <c r="C21" s="4">
        <v>2</v>
      </c>
      <c r="D21" s="4">
        <v>3</v>
      </c>
      <c r="E21" s="4">
        <v>2</v>
      </c>
      <c r="F21" s="3">
        <v>7</v>
      </c>
      <c r="G21" s="4" t="s">
        <v>300</v>
      </c>
      <c r="H21" s="2"/>
    </row>
    <row r="22" spans="1:8" ht="98.5" thickBot="1" x14ac:dyDescent="0.4">
      <c r="A22" s="3" t="s">
        <v>102</v>
      </c>
      <c r="B22" s="4" t="s">
        <v>68</v>
      </c>
      <c r="C22" s="4">
        <v>2</v>
      </c>
      <c r="D22" s="4">
        <v>3</v>
      </c>
      <c r="E22" s="4">
        <v>2</v>
      </c>
      <c r="F22" s="3">
        <v>7</v>
      </c>
      <c r="G22" s="4" t="s">
        <v>301</v>
      </c>
      <c r="H22" s="2"/>
    </row>
    <row r="23" spans="1:8" ht="112.5" thickBot="1" x14ac:dyDescent="0.4">
      <c r="A23" s="3" t="s">
        <v>136</v>
      </c>
      <c r="B23" s="4" t="s">
        <v>135</v>
      </c>
      <c r="C23" s="4">
        <v>3</v>
      </c>
      <c r="D23" s="4">
        <v>2</v>
      </c>
      <c r="E23" s="4">
        <v>2</v>
      </c>
      <c r="F23" s="3">
        <v>7</v>
      </c>
      <c r="G23" s="4" t="s">
        <v>302</v>
      </c>
      <c r="H23" s="2"/>
    </row>
    <row r="24" spans="1:8" ht="98.5" thickBot="1" x14ac:dyDescent="0.4">
      <c r="A24" s="3" t="s">
        <v>26</v>
      </c>
      <c r="B24" s="4" t="s">
        <v>25</v>
      </c>
      <c r="C24" s="4">
        <v>2</v>
      </c>
      <c r="D24" s="4">
        <v>2</v>
      </c>
      <c r="E24" s="4">
        <v>2</v>
      </c>
      <c r="F24" s="3">
        <v>6</v>
      </c>
      <c r="G24" s="4" t="s">
        <v>303</v>
      </c>
      <c r="H24" s="2"/>
    </row>
    <row r="25" spans="1:8" ht="98.5" thickBot="1" x14ac:dyDescent="0.4">
      <c r="A25" s="3" t="s">
        <v>12</v>
      </c>
      <c r="B25" s="4" t="s">
        <v>11</v>
      </c>
      <c r="C25" s="4">
        <v>3</v>
      </c>
      <c r="D25" s="4">
        <v>2</v>
      </c>
      <c r="E25" s="4">
        <v>1</v>
      </c>
      <c r="F25" s="3">
        <v>6</v>
      </c>
      <c r="G25" s="4" t="s">
        <v>304</v>
      </c>
      <c r="H25" s="2"/>
    </row>
    <row r="26" spans="1:8" ht="70.5" thickBot="1" x14ac:dyDescent="0.4">
      <c r="A26" s="3" t="s">
        <v>124</v>
      </c>
      <c r="B26" s="4" t="s">
        <v>123</v>
      </c>
      <c r="C26" s="4">
        <v>2</v>
      </c>
      <c r="D26" s="4">
        <v>2</v>
      </c>
      <c r="E26" s="4">
        <v>2</v>
      </c>
      <c r="F26" s="3">
        <v>6</v>
      </c>
      <c r="G26" s="4" t="s">
        <v>305</v>
      </c>
      <c r="H26" s="2"/>
    </row>
    <row r="27" spans="1:8" ht="112.5" thickBot="1" x14ac:dyDescent="0.4">
      <c r="A27" s="3" t="s">
        <v>127</v>
      </c>
      <c r="B27" s="4" t="s">
        <v>126</v>
      </c>
      <c r="C27" s="4">
        <v>2</v>
      </c>
      <c r="D27" s="4">
        <v>2</v>
      </c>
      <c r="E27" s="4">
        <v>2</v>
      </c>
      <c r="F27" s="3">
        <v>6</v>
      </c>
      <c r="G27" s="4" t="s">
        <v>306</v>
      </c>
      <c r="H27" s="2"/>
    </row>
    <row r="28" spans="1:8" ht="98.5" thickBot="1" x14ac:dyDescent="0.4">
      <c r="A28" s="3" t="s">
        <v>143</v>
      </c>
      <c r="B28" s="4" t="s">
        <v>142</v>
      </c>
      <c r="C28" s="4">
        <v>2</v>
      </c>
      <c r="D28" s="4">
        <v>3</v>
      </c>
      <c r="E28" s="4">
        <v>1</v>
      </c>
      <c r="F28" s="3">
        <v>6</v>
      </c>
      <c r="G28" s="4" t="s">
        <v>307</v>
      </c>
      <c r="H28" s="2"/>
    </row>
    <row r="29" spans="1:8" ht="98.5" thickBot="1" x14ac:dyDescent="0.4">
      <c r="A29" s="3" t="s">
        <v>116</v>
      </c>
      <c r="B29" s="4" t="s">
        <v>115</v>
      </c>
      <c r="C29" s="4">
        <v>2</v>
      </c>
      <c r="D29" s="4">
        <v>3</v>
      </c>
      <c r="E29" s="4">
        <v>1</v>
      </c>
      <c r="F29" s="3">
        <v>6</v>
      </c>
      <c r="G29" s="4" t="s">
        <v>308</v>
      </c>
      <c r="H29" s="2"/>
    </row>
    <row r="30" spans="1:8" ht="112.5" thickBot="1" x14ac:dyDescent="0.4">
      <c r="A30" s="3" t="s">
        <v>13</v>
      </c>
      <c r="B30" s="4" t="s">
        <v>13</v>
      </c>
      <c r="C30" s="4">
        <v>4</v>
      </c>
      <c r="D30" s="4">
        <v>0</v>
      </c>
      <c r="E30" s="4">
        <v>2</v>
      </c>
      <c r="F30" s="3">
        <v>6</v>
      </c>
      <c r="G30" s="4" t="s">
        <v>309</v>
      </c>
      <c r="H30" s="2"/>
    </row>
    <row r="31" spans="1:8" ht="112.5" thickBot="1" x14ac:dyDescent="0.4">
      <c r="A31" s="3" t="s">
        <v>83</v>
      </c>
      <c r="B31" s="4" t="s">
        <v>82</v>
      </c>
      <c r="C31" s="4">
        <v>4</v>
      </c>
      <c r="D31" s="4">
        <v>0</v>
      </c>
      <c r="E31" s="4">
        <v>2</v>
      </c>
      <c r="F31" s="3">
        <v>6</v>
      </c>
      <c r="G31" s="4" t="s">
        <v>310</v>
      </c>
      <c r="H31" s="2"/>
    </row>
    <row r="32" spans="1:8" ht="98.5" thickBot="1" x14ac:dyDescent="0.4">
      <c r="A32" s="3" t="s">
        <v>69</v>
      </c>
      <c r="B32" s="4" t="s">
        <v>219</v>
      </c>
      <c r="C32" s="4">
        <v>3</v>
      </c>
      <c r="D32" s="4">
        <v>2</v>
      </c>
      <c r="E32" s="4">
        <v>1</v>
      </c>
      <c r="F32" s="3">
        <v>6</v>
      </c>
      <c r="G32" s="4" t="s">
        <v>311</v>
      </c>
      <c r="H32" s="2"/>
    </row>
    <row r="33" spans="1:8" ht="112.5" thickBot="1" x14ac:dyDescent="0.4">
      <c r="A33" s="3" t="s">
        <v>100</v>
      </c>
      <c r="B33" s="4" t="s">
        <v>48</v>
      </c>
      <c r="C33" s="4">
        <v>1</v>
      </c>
      <c r="D33" s="4">
        <v>3</v>
      </c>
      <c r="E33" s="4">
        <v>2</v>
      </c>
      <c r="F33" s="3">
        <v>6</v>
      </c>
      <c r="G33" s="4" t="s">
        <v>312</v>
      </c>
      <c r="H33" s="2"/>
    </row>
    <row r="34" spans="1:8" ht="84.5" thickBot="1" x14ac:dyDescent="0.4">
      <c r="A34" s="3" t="s">
        <v>5</v>
      </c>
      <c r="B34" s="4" t="s">
        <v>4</v>
      </c>
      <c r="C34" s="4">
        <v>0</v>
      </c>
      <c r="D34" s="4">
        <v>3</v>
      </c>
      <c r="E34" s="4">
        <v>2</v>
      </c>
      <c r="F34" s="3">
        <v>5</v>
      </c>
      <c r="G34" s="4" t="s">
        <v>313</v>
      </c>
      <c r="H34" s="2"/>
    </row>
    <row r="35" spans="1:8" ht="98.5" thickBot="1" x14ac:dyDescent="0.4">
      <c r="A35" s="3" t="s">
        <v>19</v>
      </c>
      <c r="B35" s="4" t="s">
        <v>18</v>
      </c>
      <c r="C35" s="4">
        <v>2</v>
      </c>
      <c r="D35" s="4">
        <v>2</v>
      </c>
      <c r="E35" s="4">
        <v>1</v>
      </c>
      <c r="F35" s="3">
        <v>5</v>
      </c>
      <c r="G35" s="4" t="s">
        <v>314</v>
      </c>
      <c r="H35" s="2"/>
    </row>
    <row r="36" spans="1:8" ht="98.5" thickBot="1" x14ac:dyDescent="0.4">
      <c r="A36" s="3" t="s">
        <v>31</v>
      </c>
      <c r="B36" s="4" t="s">
        <v>30</v>
      </c>
      <c r="C36" s="4">
        <v>2</v>
      </c>
      <c r="D36" s="4">
        <v>2</v>
      </c>
      <c r="E36" s="4">
        <v>1</v>
      </c>
      <c r="F36" s="3">
        <v>5</v>
      </c>
      <c r="G36" s="4" t="s">
        <v>315</v>
      </c>
      <c r="H36" s="2"/>
    </row>
    <row r="37" spans="1:8" ht="84.5" thickBot="1" x14ac:dyDescent="0.4">
      <c r="A37" s="3" t="s">
        <v>33</v>
      </c>
      <c r="B37" s="4" t="s">
        <v>32</v>
      </c>
      <c r="C37" s="4">
        <v>2</v>
      </c>
      <c r="D37" s="4">
        <v>2</v>
      </c>
      <c r="E37" s="4">
        <v>1</v>
      </c>
      <c r="F37" s="3">
        <v>5</v>
      </c>
      <c r="G37" s="4" t="s">
        <v>316</v>
      </c>
      <c r="H37" s="2"/>
    </row>
    <row r="38" spans="1:8" ht="126.5" thickBot="1" x14ac:dyDescent="0.4">
      <c r="A38" s="3" t="s">
        <v>23</v>
      </c>
      <c r="B38" s="4" t="s">
        <v>22</v>
      </c>
      <c r="C38" s="4">
        <v>2</v>
      </c>
      <c r="D38" s="4">
        <v>1</v>
      </c>
      <c r="E38" s="4">
        <v>2</v>
      </c>
      <c r="F38" s="3">
        <v>5</v>
      </c>
      <c r="G38" s="4" t="s">
        <v>317</v>
      </c>
      <c r="H38" s="2"/>
    </row>
    <row r="39" spans="1:8" ht="84.5" thickBot="1" x14ac:dyDescent="0.4">
      <c r="A39" s="3" t="s">
        <v>154</v>
      </c>
      <c r="B39" s="4" t="s">
        <v>70</v>
      </c>
      <c r="C39" s="4">
        <v>2</v>
      </c>
      <c r="D39" s="4">
        <v>2</v>
      </c>
      <c r="E39" s="4">
        <v>1</v>
      </c>
      <c r="F39" s="3">
        <v>5</v>
      </c>
      <c r="G39" s="4" t="s">
        <v>318</v>
      </c>
      <c r="H39" s="2"/>
    </row>
    <row r="40" spans="1:8" ht="84.5" thickBot="1" x14ac:dyDescent="0.4">
      <c r="A40" s="3" t="s">
        <v>59</v>
      </c>
      <c r="B40" s="4" t="s">
        <v>58</v>
      </c>
      <c r="C40" s="4">
        <v>2</v>
      </c>
      <c r="D40" s="4">
        <v>2</v>
      </c>
      <c r="E40" s="4">
        <v>1</v>
      </c>
      <c r="F40" s="3">
        <v>5</v>
      </c>
      <c r="G40" s="4" t="s">
        <v>319</v>
      </c>
      <c r="H40" s="2"/>
    </row>
    <row r="41" spans="1:8" ht="98.5" thickBot="1" x14ac:dyDescent="0.4">
      <c r="A41" s="3" t="s">
        <v>60</v>
      </c>
      <c r="B41" s="4" t="s">
        <v>113</v>
      </c>
      <c r="C41" s="4">
        <v>3</v>
      </c>
      <c r="D41" s="4">
        <v>0</v>
      </c>
      <c r="E41" s="4">
        <v>2</v>
      </c>
      <c r="F41" s="3">
        <v>5</v>
      </c>
      <c r="G41" s="4" t="s">
        <v>320</v>
      </c>
      <c r="H41" s="2"/>
    </row>
    <row r="42" spans="1:8" ht="112.5" thickBot="1" x14ac:dyDescent="0.4">
      <c r="A42" s="3" t="s">
        <v>37</v>
      </c>
      <c r="B42" s="4" t="s">
        <v>36</v>
      </c>
      <c r="C42" s="4">
        <v>2</v>
      </c>
      <c r="D42" s="4">
        <v>1</v>
      </c>
      <c r="E42" s="4">
        <v>2</v>
      </c>
      <c r="F42" s="3">
        <v>5</v>
      </c>
      <c r="G42" s="4" t="s">
        <v>321</v>
      </c>
      <c r="H42" s="2"/>
    </row>
    <row r="43" spans="1:8" ht="98.5" thickBot="1" x14ac:dyDescent="0.4">
      <c r="A43" s="3" t="s">
        <v>39</v>
      </c>
      <c r="B43" s="4" t="s">
        <v>38</v>
      </c>
      <c r="C43" s="4">
        <v>0</v>
      </c>
      <c r="D43" s="4">
        <v>2</v>
      </c>
      <c r="E43" s="4">
        <v>2</v>
      </c>
      <c r="F43" s="3">
        <v>4</v>
      </c>
      <c r="G43" s="4" t="s">
        <v>322</v>
      </c>
      <c r="H43" s="2"/>
    </row>
    <row r="44" spans="1:8" ht="98.5" thickBot="1" x14ac:dyDescent="0.4">
      <c r="A44" s="3" t="s">
        <v>140</v>
      </c>
      <c r="B44" s="4" t="s">
        <v>140</v>
      </c>
      <c r="C44" s="4">
        <v>1</v>
      </c>
      <c r="D44" s="4">
        <v>2</v>
      </c>
      <c r="E44" s="4">
        <v>1</v>
      </c>
      <c r="F44" s="3">
        <v>4</v>
      </c>
      <c r="G44" s="4" t="s">
        <v>323</v>
      </c>
      <c r="H44" s="2"/>
    </row>
    <row r="45" spans="1:8" ht="56.5" thickBot="1" x14ac:dyDescent="0.4">
      <c r="A45" s="3" t="s">
        <v>57</v>
      </c>
      <c r="B45" s="4" t="s">
        <v>56</v>
      </c>
      <c r="C45" s="4">
        <v>2</v>
      </c>
      <c r="D45" s="4">
        <v>1</v>
      </c>
      <c r="E45" s="4">
        <v>1</v>
      </c>
      <c r="F45" s="3">
        <v>4</v>
      </c>
      <c r="G45" s="4" t="s">
        <v>324</v>
      </c>
      <c r="H45" s="2"/>
    </row>
    <row r="46" spans="1:8" ht="98.5" thickBot="1" x14ac:dyDescent="0.4">
      <c r="A46" s="3" t="s">
        <v>10</v>
      </c>
      <c r="B46" s="4" t="s">
        <v>10</v>
      </c>
      <c r="C46" s="4">
        <v>1</v>
      </c>
      <c r="D46" s="4">
        <v>1</v>
      </c>
      <c r="E46" s="4">
        <v>1</v>
      </c>
      <c r="F46" s="3">
        <v>3</v>
      </c>
      <c r="G46" s="4" t="s">
        <v>325</v>
      </c>
      <c r="H46" s="2"/>
    </row>
    <row r="47" spans="1:8" ht="70.5" thickBot="1" x14ac:dyDescent="0.4">
      <c r="A47" s="3" t="s">
        <v>17</v>
      </c>
      <c r="B47" s="4" t="s">
        <v>16</v>
      </c>
      <c r="C47" s="4">
        <v>1</v>
      </c>
      <c r="D47" s="4">
        <v>1</v>
      </c>
      <c r="E47" s="4">
        <v>1</v>
      </c>
      <c r="F47" s="3">
        <v>3</v>
      </c>
      <c r="G47" s="4" t="s">
        <v>326</v>
      </c>
      <c r="H47" s="2"/>
    </row>
    <row r="48" spans="1:8" ht="112.5" thickBot="1" x14ac:dyDescent="0.4">
      <c r="A48" s="3" t="s">
        <v>9</v>
      </c>
      <c r="B48" s="4" t="s">
        <v>8</v>
      </c>
      <c r="C48" s="4">
        <v>2</v>
      </c>
      <c r="D48" s="4">
        <v>0</v>
      </c>
      <c r="E48" s="4">
        <v>1</v>
      </c>
      <c r="F48" s="3">
        <v>3</v>
      </c>
      <c r="G48" s="4" t="s">
        <v>327</v>
      </c>
      <c r="H48" s="2"/>
    </row>
    <row r="49" spans="1:8" ht="70.5" thickBot="1" x14ac:dyDescent="0.4">
      <c r="A49" s="3" t="s">
        <v>157</v>
      </c>
      <c r="B49" s="4" t="s">
        <v>156</v>
      </c>
      <c r="C49" s="4">
        <v>1</v>
      </c>
      <c r="D49" s="4">
        <v>1</v>
      </c>
      <c r="E49" s="4">
        <v>1</v>
      </c>
      <c r="F49" s="3">
        <v>3</v>
      </c>
      <c r="G49" s="4" t="s">
        <v>328</v>
      </c>
      <c r="H49" s="2"/>
    </row>
    <row r="50" spans="1:8" ht="56.5" thickBot="1" x14ac:dyDescent="0.4">
      <c r="A50" s="3" t="s">
        <v>160</v>
      </c>
      <c r="B50" s="4" t="s">
        <v>159</v>
      </c>
      <c r="C50" s="4">
        <v>1</v>
      </c>
      <c r="D50" s="4">
        <v>1</v>
      </c>
      <c r="E50" s="4">
        <v>1</v>
      </c>
      <c r="F50" s="3">
        <v>3</v>
      </c>
      <c r="G50" s="4" t="s">
        <v>329</v>
      </c>
      <c r="H50" s="2"/>
    </row>
    <row r="51" spans="1:8" ht="112.5" thickBot="1" x14ac:dyDescent="0.4">
      <c r="A51" s="3" t="s">
        <v>120</v>
      </c>
      <c r="B51" s="4" t="s">
        <v>330</v>
      </c>
      <c r="C51" s="4">
        <v>1</v>
      </c>
      <c r="D51" s="4">
        <v>0</v>
      </c>
      <c r="E51" s="4">
        <v>1</v>
      </c>
      <c r="F51" s="3">
        <v>2</v>
      </c>
      <c r="G51" s="4" t="s">
        <v>331</v>
      </c>
      <c r="H5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6E18D-A617-4109-838A-EA084161EF43}">
  <dimension ref="A1:H51"/>
  <sheetViews>
    <sheetView workbookViewId="0">
      <selection activeCell="A36" sqref="A36"/>
    </sheetView>
  </sheetViews>
  <sheetFormatPr defaultRowHeight="14.5" x14ac:dyDescent="0.35"/>
  <sheetData>
    <row r="1" spans="1:8" ht="70" x14ac:dyDescent="0.35">
      <c r="A1" s="1" t="s">
        <v>162</v>
      </c>
      <c r="B1" s="1" t="s">
        <v>72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3</v>
      </c>
    </row>
    <row r="2" spans="1:8" ht="112" x14ac:dyDescent="0.35">
      <c r="A2" s="1" t="s">
        <v>163</v>
      </c>
      <c r="B2" s="2" t="s">
        <v>4</v>
      </c>
      <c r="C2" s="2" t="s">
        <v>61</v>
      </c>
      <c r="D2" s="1">
        <v>0</v>
      </c>
      <c r="E2" s="1">
        <v>0</v>
      </c>
      <c r="F2" s="1">
        <v>0</v>
      </c>
      <c r="G2" s="1">
        <v>0</v>
      </c>
      <c r="H2" s="2" t="s">
        <v>225</v>
      </c>
    </row>
    <row r="3" spans="1:8" ht="107.5" x14ac:dyDescent="0.35">
      <c r="A3" s="1" t="s">
        <v>164</v>
      </c>
      <c r="B3" s="2" t="s">
        <v>6</v>
      </c>
      <c r="C3" s="2" t="s">
        <v>62</v>
      </c>
      <c r="D3" s="1">
        <v>3</v>
      </c>
      <c r="E3" s="1">
        <v>4</v>
      </c>
      <c r="F3" s="1">
        <v>2</v>
      </c>
      <c r="G3" s="1">
        <v>9</v>
      </c>
      <c r="H3" s="2" t="s">
        <v>226</v>
      </c>
    </row>
    <row r="4" spans="1:8" ht="98" x14ac:dyDescent="0.35">
      <c r="A4" s="1" t="s">
        <v>165</v>
      </c>
      <c r="B4" s="2" t="s">
        <v>10</v>
      </c>
      <c r="C4" s="2" t="s">
        <v>62</v>
      </c>
      <c r="D4" s="1">
        <v>3</v>
      </c>
      <c r="E4" s="1">
        <v>4</v>
      </c>
      <c r="F4" s="1">
        <v>2</v>
      </c>
      <c r="G4" s="1">
        <v>9</v>
      </c>
      <c r="H4" s="2" t="s">
        <v>227</v>
      </c>
    </row>
    <row r="5" spans="1:8" ht="126" x14ac:dyDescent="0.35">
      <c r="A5" s="1" t="s">
        <v>166</v>
      </c>
      <c r="B5" s="2" t="s">
        <v>11</v>
      </c>
      <c r="C5" s="2" t="s">
        <v>62</v>
      </c>
      <c r="D5" s="1">
        <v>2</v>
      </c>
      <c r="E5" s="1">
        <v>3</v>
      </c>
      <c r="F5" s="1">
        <v>2</v>
      </c>
      <c r="G5" s="1">
        <v>7</v>
      </c>
      <c r="H5" s="2" t="s">
        <v>228</v>
      </c>
    </row>
    <row r="6" spans="1:8" ht="93.5" x14ac:dyDescent="0.35">
      <c r="A6" s="1" t="s">
        <v>167</v>
      </c>
      <c r="B6" s="2" t="s">
        <v>14</v>
      </c>
      <c r="C6" s="2" t="s">
        <v>62</v>
      </c>
      <c r="D6" s="1">
        <v>3</v>
      </c>
      <c r="E6" s="1">
        <v>4</v>
      </c>
      <c r="F6" s="1">
        <v>2</v>
      </c>
      <c r="G6" s="1">
        <v>9</v>
      </c>
      <c r="H6" s="2" t="s">
        <v>229</v>
      </c>
    </row>
    <row r="7" spans="1:8" ht="112" x14ac:dyDescent="0.35">
      <c r="A7" s="1" t="s">
        <v>168</v>
      </c>
      <c r="B7" s="2" t="s">
        <v>20</v>
      </c>
      <c r="C7" s="2" t="s">
        <v>62</v>
      </c>
      <c r="D7" s="1">
        <v>4</v>
      </c>
      <c r="E7" s="1">
        <v>4</v>
      </c>
      <c r="F7" s="1">
        <v>2</v>
      </c>
      <c r="G7" s="1">
        <v>10</v>
      </c>
      <c r="H7" s="2" t="s">
        <v>230</v>
      </c>
    </row>
    <row r="8" spans="1:8" ht="98" x14ac:dyDescent="0.35">
      <c r="A8" s="1" t="s">
        <v>169</v>
      </c>
      <c r="B8" s="2" t="s">
        <v>18</v>
      </c>
      <c r="C8" s="2" t="s">
        <v>62</v>
      </c>
      <c r="D8" s="1">
        <v>3</v>
      </c>
      <c r="E8" s="1">
        <v>4</v>
      </c>
      <c r="F8" s="1">
        <v>2</v>
      </c>
      <c r="G8" s="1">
        <v>9</v>
      </c>
      <c r="H8" s="2" t="s">
        <v>231</v>
      </c>
    </row>
    <row r="9" spans="1:8" ht="98" x14ac:dyDescent="0.35">
      <c r="A9" s="1" t="s">
        <v>170</v>
      </c>
      <c r="B9" s="2" t="s">
        <v>232</v>
      </c>
      <c r="C9" s="2" t="s">
        <v>62</v>
      </c>
      <c r="D9" s="1">
        <v>4</v>
      </c>
      <c r="E9" s="1">
        <v>4</v>
      </c>
      <c r="F9" s="1">
        <v>2</v>
      </c>
      <c r="G9" s="1">
        <v>10</v>
      </c>
      <c r="H9" s="2" t="s">
        <v>233</v>
      </c>
    </row>
    <row r="10" spans="1:8" ht="84" x14ac:dyDescent="0.35">
      <c r="A10" s="1" t="s">
        <v>171</v>
      </c>
      <c r="B10" s="2" t="s">
        <v>234</v>
      </c>
      <c r="C10" s="2" t="s">
        <v>62</v>
      </c>
      <c r="D10" s="1">
        <v>4</v>
      </c>
      <c r="E10" s="1">
        <v>4</v>
      </c>
      <c r="F10" s="1">
        <v>2</v>
      </c>
      <c r="G10" s="1">
        <v>10</v>
      </c>
      <c r="H10" s="2" t="s">
        <v>235</v>
      </c>
    </row>
    <row r="11" spans="1:8" ht="112" x14ac:dyDescent="0.35">
      <c r="A11" s="1" t="s">
        <v>172</v>
      </c>
      <c r="B11" s="2" t="s">
        <v>54</v>
      </c>
      <c r="C11" s="2" t="s">
        <v>62</v>
      </c>
      <c r="D11" s="1">
        <v>4</v>
      </c>
      <c r="E11" s="1">
        <v>4</v>
      </c>
      <c r="F11" s="1">
        <v>2</v>
      </c>
      <c r="G11" s="1">
        <v>10</v>
      </c>
      <c r="H11" s="2" t="s">
        <v>236</v>
      </c>
    </row>
    <row r="12" spans="1:8" ht="140" x14ac:dyDescent="0.35">
      <c r="A12" s="1" t="s">
        <v>173</v>
      </c>
      <c r="B12" s="2" t="s">
        <v>40</v>
      </c>
      <c r="C12" s="2" t="s">
        <v>237</v>
      </c>
      <c r="D12" s="1">
        <v>4</v>
      </c>
      <c r="E12" s="1">
        <v>4</v>
      </c>
      <c r="F12" s="1">
        <v>2</v>
      </c>
      <c r="G12" s="1">
        <v>10</v>
      </c>
      <c r="H12" s="2" t="s">
        <v>238</v>
      </c>
    </row>
    <row r="13" spans="1:8" ht="98" x14ac:dyDescent="0.35">
      <c r="A13" s="1" t="s">
        <v>174</v>
      </c>
      <c r="B13" s="2" t="s">
        <v>16</v>
      </c>
      <c r="C13" s="2" t="s">
        <v>62</v>
      </c>
      <c r="D13" s="1">
        <v>2</v>
      </c>
      <c r="E13" s="1">
        <v>3</v>
      </c>
      <c r="F13" s="1">
        <v>2</v>
      </c>
      <c r="G13" s="1">
        <v>7</v>
      </c>
      <c r="H13" s="2" t="s">
        <v>239</v>
      </c>
    </row>
    <row r="14" spans="1:8" ht="42" x14ac:dyDescent="0.35">
      <c r="A14" s="1" t="s">
        <v>175</v>
      </c>
      <c r="B14" s="2" t="s">
        <v>36</v>
      </c>
      <c r="C14" s="2" t="s">
        <v>240</v>
      </c>
      <c r="D14" s="1">
        <v>3</v>
      </c>
      <c r="E14" s="1">
        <v>4</v>
      </c>
      <c r="F14" s="1">
        <v>2</v>
      </c>
      <c r="G14" s="1">
        <v>9</v>
      </c>
      <c r="H14" s="2" t="s">
        <v>241</v>
      </c>
    </row>
    <row r="15" spans="1:8" ht="79.5" x14ac:dyDescent="0.35">
      <c r="A15" s="1" t="s">
        <v>176</v>
      </c>
      <c r="B15" s="2" t="s">
        <v>25</v>
      </c>
      <c r="C15" s="2" t="s">
        <v>61</v>
      </c>
      <c r="D15" s="1">
        <v>1</v>
      </c>
      <c r="E15" s="1">
        <v>1</v>
      </c>
      <c r="F15" s="1">
        <v>0</v>
      </c>
      <c r="G15" s="1">
        <v>2</v>
      </c>
      <c r="H15" s="2" t="s">
        <v>242</v>
      </c>
    </row>
    <row r="16" spans="1:8" ht="126" x14ac:dyDescent="0.35">
      <c r="A16" s="1" t="s">
        <v>177</v>
      </c>
      <c r="B16" s="2" t="s">
        <v>38</v>
      </c>
      <c r="C16" s="2" t="s">
        <v>61</v>
      </c>
      <c r="D16" s="1">
        <v>1</v>
      </c>
      <c r="E16" s="1">
        <v>1</v>
      </c>
      <c r="F16" s="1">
        <v>2</v>
      </c>
      <c r="G16" s="1">
        <v>4</v>
      </c>
      <c r="H16" s="2" t="s">
        <v>243</v>
      </c>
    </row>
    <row r="17" spans="1:8" ht="42" x14ac:dyDescent="0.35">
      <c r="A17" s="1" t="s">
        <v>178</v>
      </c>
      <c r="B17" s="2" t="s">
        <v>30</v>
      </c>
      <c r="C17" s="2" t="s">
        <v>62</v>
      </c>
      <c r="D17" s="1">
        <v>3</v>
      </c>
      <c r="E17" s="1">
        <v>4</v>
      </c>
      <c r="F17" s="1">
        <v>2</v>
      </c>
      <c r="G17" s="1">
        <v>9</v>
      </c>
      <c r="H17" s="2" t="s">
        <v>244</v>
      </c>
    </row>
    <row r="18" spans="1:8" ht="42" x14ac:dyDescent="0.35">
      <c r="A18" s="1" t="s">
        <v>179</v>
      </c>
      <c r="B18" s="2" t="s">
        <v>32</v>
      </c>
      <c r="C18" s="2" t="s">
        <v>62</v>
      </c>
      <c r="D18" s="1">
        <v>3</v>
      </c>
      <c r="E18" s="1">
        <v>4</v>
      </c>
      <c r="F18" s="1">
        <v>2</v>
      </c>
      <c r="G18" s="1">
        <v>9</v>
      </c>
      <c r="H18" s="2" t="s">
        <v>245</v>
      </c>
    </row>
    <row r="19" spans="1:8" ht="112" x14ac:dyDescent="0.35">
      <c r="A19" s="1" t="s">
        <v>180</v>
      </c>
      <c r="B19" s="2" t="s">
        <v>46</v>
      </c>
      <c r="C19" s="2" t="s">
        <v>246</v>
      </c>
      <c r="D19" s="1">
        <v>2</v>
      </c>
      <c r="E19" s="1">
        <v>2</v>
      </c>
      <c r="F19" s="1">
        <v>1</v>
      </c>
      <c r="G19" s="1">
        <v>5</v>
      </c>
      <c r="H19" s="2" t="s">
        <v>247</v>
      </c>
    </row>
    <row r="20" spans="1:8" ht="98" x14ac:dyDescent="0.35">
      <c r="A20" s="1" t="s">
        <v>181</v>
      </c>
      <c r="B20" s="2" t="s">
        <v>22</v>
      </c>
      <c r="C20" s="2" t="s">
        <v>248</v>
      </c>
      <c r="D20" s="1">
        <v>3</v>
      </c>
      <c r="E20" s="1">
        <v>4</v>
      </c>
      <c r="F20" s="1">
        <v>2</v>
      </c>
      <c r="G20" s="1">
        <v>9</v>
      </c>
      <c r="H20" s="2" t="s">
        <v>249</v>
      </c>
    </row>
    <row r="21" spans="1:8" ht="79.5" x14ac:dyDescent="0.35">
      <c r="A21" s="1" t="s">
        <v>182</v>
      </c>
      <c r="B21" s="2" t="s">
        <v>28</v>
      </c>
      <c r="C21" s="2" t="s">
        <v>64</v>
      </c>
      <c r="D21" s="1">
        <v>4</v>
      </c>
      <c r="E21" s="1">
        <v>4</v>
      </c>
      <c r="F21" s="1">
        <v>2</v>
      </c>
      <c r="G21" s="1">
        <v>10</v>
      </c>
      <c r="H21" s="2" t="s">
        <v>250</v>
      </c>
    </row>
    <row r="22" spans="1:8" ht="70" x14ac:dyDescent="0.35">
      <c r="A22" s="1" t="s">
        <v>183</v>
      </c>
      <c r="B22" s="2" t="s">
        <v>49</v>
      </c>
      <c r="C22" s="2" t="s">
        <v>64</v>
      </c>
      <c r="D22" s="1">
        <v>4</v>
      </c>
      <c r="E22" s="1">
        <v>4</v>
      </c>
      <c r="F22" s="1">
        <v>2</v>
      </c>
      <c r="G22" s="1">
        <v>10</v>
      </c>
      <c r="H22" s="2" t="s">
        <v>251</v>
      </c>
    </row>
    <row r="23" spans="1:8" ht="70" x14ac:dyDescent="0.35">
      <c r="A23" s="1" t="s">
        <v>184</v>
      </c>
      <c r="B23" s="2" t="s">
        <v>123</v>
      </c>
      <c r="C23" s="2" t="s">
        <v>64</v>
      </c>
      <c r="D23" s="1">
        <v>4</v>
      </c>
      <c r="E23" s="1">
        <v>4</v>
      </c>
      <c r="F23" s="1">
        <v>2</v>
      </c>
      <c r="G23" s="1">
        <v>10</v>
      </c>
      <c r="H23" s="2" t="s">
        <v>251</v>
      </c>
    </row>
    <row r="24" spans="1:8" ht="70" x14ac:dyDescent="0.35">
      <c r="A24" s="1" t="s">
        <v>185</v>
      </c>
      <c r="B24" s="2" t="s">
        <v>145</v>
      </c>
      <c r="C24" s="2" t="s">
        <v>64</v>
      </c>
      <c r="D24" s="1">
        <v>4</v>
      </c>
      <c r="E24" s="1">
        <v>4</v>
      </c>
      <c r="F24" s="1">
        <v>2</v>
      </c>
      <c r="G24" s="1">
        <v>10</v>
      </c>
      <c r="H24" s="2" t="s">
        <v>251</v>
      </c>
    </row>
    <row r="25" spans="1:8" ht="70" x14ac:dyDescent="0.35">
      <c r="A25" s="1" t="s">
        <v>126</v>
      </c>
      <c r="B25" s="2" t="s">
        <v>126</v>
      </c>
      <c r="C25" s="2" t="s">
        <v>64</v>
      </c>
      <c r="D25" s="1">
        <v>4</v>
      </c>
      <c r="E25" s="1">
        <v>4</v>
      </c>
      <c r="F25" s="1">
        <v>2</v>
      </c>
      <c r="G25" s="1">
        <v>10</v>
      </c>
      <c r="H25" s="2" t="s">
        <v>252</v>
      </c>
    </row>
    <row r="26" spans="1:8" ht="70" x14ac:dyDescent="0.35">
      <c r="A26" s="1" t="s">
        <v>186</v>
      </c>
      <c r="B26" s="2" t="s">
        <v>51</v>
      </c>
      <c r="C26" s="2" t="s">
        <v>253</v>
      </c>
      <c r="D26" s="1">
        <v>4</v>
      </c>
      <c r="E26" s="1">
        <v>4</v>
      </c>
      <c r="F26" s="1">
        <v>2</v>
      </c>
      <c r="G26" s="1">
        <v>10</v>
      </c>
      <c r="H26" s="2" t="s">
        <v>254</v>
      </c>
    </row>
    <row r="27" spans="1:8" ht="112" x14ac:dyDescent="0.35">
      <c r="A27" s="1" t="s">
        <v>187</v>
      </c>
      <c r="B27" s="2" t="s">
        <v>42</v>
      </c>
      <c r="C27" s="2" t="s">
        <v>63</v>
      </c>
      <c r="D27" s="1">
        <v>4</v>
      </c>
      <c r="E27" s="1">
        <v>4</v>
      </c>
      <c r="F27" s="1">
        <v>2</v>
      </c>
      <c r="G27" s="1">
        <v>10</v>
      </c>
      <c r="H27" s="2" t="s">
        <v>255</v>
      </c>
    </row>
    <row r="28" spans="1:8" ht="98" x14ac:dyDescent="0.35">
      <c r="A28" s="1" t="s">
        <v>188</v>
      </c>
      <c r="B28" s="2" t="s">
        <v>44</v>
      </c>
      <c r="C28" s="2" t="s">
        <v>63</v>
      </c>
      <c r="D28" s="1">
        <v>4</v>
      </c>
      <c r="E28" s="1">
        <v>4</v>
      </c>
      <c r="F28" s="1">
        <v>2</v>
      </c>
      <c r="G28" s="1">
        <v>10</v>
      </c>
      <c r="H28" s="2" t="s">
        <v>256</v>
      </c>
    </row>
    <row r="29" spans="1:8" ht="56" x14ac:dyDescent="0.35">
      <c r="A29" s="1" t="s">
        <v>189</v>
      </c>
      <c r="B29" s="2" t="s">
        <v>120</v>
      </c>
      <c r="C29" s="2" t="s">
        <v>64</v>
      </c>
      <c r="D29" s="1">
        <v>4</v>
      </c>
      <c r="E29" s="1">
        <v>4</v>
      </c>
      <c r="F29" s="1">
        <v>2</v>
      </c>
      <c r="G29" s="1">
        <v>10</v>
      </c>
      <c r="H29" s="2" t="s">
        <v>257</v>
      </c>
    </row>
    <row r="30" spans="1:8" ht="42" x14ac:dyDescent="0.35">
      <c r="A30" s="1" t="s">
        <v>190</v>
      </c>
      <c r="B30" s="2" t="s">
        <v>258</v>
      </c>
      <c r="C30" s="2" t="s">
        <v>64</v>
      </c>
      <c r="D30" s="1">
        <v>4</v>
      </c>
      <c r="E30" s="1">
        <v>4</v>
      </c>
      <c r="F30" s="1">
        <v>2</v>
      </c>
      <c r="G30" s="1">
        <v>10</v>
      </c>
      <c r="H30" s="2" t="s">
        <v>257</v>
      </c>
    </row>
    <row r="31" spans="1:8" ht="70" x14ac:dyDescent="0.35">
      <c r="A31" s="1" t="s">
        <v>191</v>
      </c>
      <c r="B31" s="2" t="s">
        <v>66</v>
      </c>
      <c r="C31" s="2" t="s">
        <v>64</v>
      </c>
      <c r="D31" s="1">
        <v>4</v>
      </c>
      <c r="E31" s="1">
        <v>4</v>
      </c>
      <c r="F31" s="1">
        <v>2</v>
      </c>
      <c r="G31" s="1">
        <v>10</v>
      </c>
      <c r="H31" s="2" t="s">
        <v>259</v>
      </c>
    </row>
    <row r="32" spans="1:8" ht="98" x14ac:dyDescent="0.35">
      <c r="A32" s="1" t="s">
        <v>192</v>
      </c>
      <c r="B32" s="2" t="s">
        <v>104</v>
      </c>
      <c r="C32" s="2" t="s">
        <v>260</v>
      </c>
      <c r="D32" s="1">
        <v>3</v>
      </c>
      <c r="E32" s="1">
        <v>4</v>
      </c>
      <c r="F32" s="1">
        <v>2</v>
      </c>
      <c r="G32" s="1">
        <v>9</v>
      </c>
      <c r="H32" s="2" t="s">
        <v>261</v>
      </c>
    </row>
    <row r="33" spans="1:8" ht="84" x14ac:dyDescent="0.35">
      <c r="A33" s="1" t="s">
        <v>193</v>
      </c>
      <c r="B33" s="2" t="s">
        <v>140</v>
      </c>
      <c r="C33" s="2" t="s">
        <v>64</v>
      </c>
      <c r="D33" s="1">
        <v>4</v>
      </c>
      <c r="E33" s="1">
        <v>4</v>
      </c>
      <c r="F33" s="1">
        <v>2</v>
      </c>
      <c r="G33" s="1">
        <v>10</v>
      </c>
      <c r="H33" s="2" t="s">
        <v>262</v>
      </c>
    </row>
    <row r="34" spans="1:8" ht="42" x14ac:dyDescent="0.35">
      <c r="A34" s="1" t="s">
        <v>194</v>
      </c>
      <c r="B34" s="2" t="s">
        <v>115</v>
      </c>
      <c r="C34" s="2" t="s">
        <v>64</v>
      </c>
      <c r="D34" s="1">
        <v>4</v>
      </c>
      <c r="E34" s="1">
        <v>4</v>
      </c>
      <c r="F34" s="1">
        <v>2</v>
      </c>
      <c r="G34" s="1">
        <v>10</v>
      </c>
      <c r="H34" s="2" t="s">
        <v>257</v>
      </c>
    </row>
    <row r="35" spans="1:8" ht="70" x14ac:dyDescent="0.35">
      <c r="A35" s="1" t="s">
        <v>195</v>
      </c>
      <c r="B35" s="2" t="s">
        <v>97</v>
      </c>
      <c r="C35" s="2" t="s">
        <v>64</v>
      </c>
      <c r="D35" s="1">
        <v>4</v>
      </c>
      <c r="E35" s="1">
        <v>4</v>
      </c>
      <c r="F35" s="1">
        <v>2</v>
      </c>
      <c r="G35" s="1">
        <v>10</v>
      </c>
      <c r="H35" s="2" t="s">
        <v>263</v>
      </c>
    </row>
    <row r="36" spans="1:8" ht="84" x14ac:dyDescent="0.35">
      <c r="A36" s="1" t="s">
        <v>196</v>
      </c>
      <c r="B36" s="2" t="s">
        <v>89</v>
      </c>
      <c r="C36" s="2" t="s">
        <v>64</v>
      </c>
      <c r="D36" s="1">
        <v>4</v>
      </c>
      <c r="E36" s="1">
        <v>4</v>
      </c>
      <c r="F36" s="1">
        <v>2</v>
      </c>
      <c r="G36" s="1">
        <v>10</v>
      </c>
      <c r="H36" s="2" t="s">
        <v>264</v>
      </c>
    </row>
    <row r="37" spans="1:8" ht="42" x14ac:dyDescent="0.35">
      <c r="A37" s="1" t="s">
        <v>197</v>
      </c>
      <c r="B37" s="2" t="s">
        <v>70</v>
      </c>
      <c r="C37" s="2" t="s">
        <v>64</v>
      </c>
      <c r="D37" s="1">
        <v>4</v>
      </c>
      <c r="E37" s="1">
        <v>4</v>
      </c>
      <c r="F37" s="1">
        <v>2</v>
      </c>
      <c r="G37" s="1">
        <v>10</v>
      </c>
      <c r="H37" s="2" t="s">
        <v>257</v>
      </c>
    </row>
    <row r="38" spans="1:8" ht="70" x14ac:dyDescent="0.35">
      <c r="A38" s="1" t="s">
        <v>198</v>
      </c>
      <c r="B38" s="2" t="s">
        <v>8</v>
      </c>
      <c r="C38" s="2" t="s">
        <v>265</v>
      </c>
      <c r="D38" s="1">
        <v>4</v>
      </c>
      <c r="E38" s="1">
        <v>4</v>
      </c>
      <c r="F38" s="1">
        <v>2</v>
      </c>
      <c r="G38" s="1">
        <v>10</v>
      </c>
      <c r="H38" s="2" t="s">
        <v>266</v>
      </c>
    </row>
    <row r="39" spans="1:8" ht="79.5" x14ac:dyDescent="0.35">
      <c r="A39" s="1" t="s">
        <v>199</v>
      </c>
      <c r="B39" s="2" t="s">
        <v>13</v>
      </c>
      <c r="C39" s="2" t="s">
        <v>265</v>
      </c>
      <c r="D39" s="1">
        <v>4</v>
      </c>
      <c r="E39" s="1">
        <v>4</v>
      </c>
      <c r="F39" s="1">
        <v>2</v>
      </c>
      <c r="G39" s="1">
        <v>10</v>
      </c>
      <c r="H39" s="2" t="s">
        <v>267</v>
      </c>
    </row>
    <row r="40" spans="1:8" ht="84" x14ac:dyDescent="0.35">
      <c r="A40" s="1" t="s">
        <v>200</v>
      </c>
      <c r="B40" s="2" t="s">
        <v>65</v>
      </c>
      <c r="C40" s="2" t="s">
        <v>265</v>
      </c>
      <c r="D40" s="1">
        <v>4</v>
      </c>
      <c r="E40" s="1">
        <v>4</v>
      </c>
      <c r="F40" s="1">
        <v>2</v>
      </c>
      <c r="G40" s="1">
        <v>10</v>
      </c>
      <c r="H40" s="2" t="s">
        <v>268</v>
      </c>
    </row>
    <row r="41" spans="1:8" ht="28" x14ac:dyDescent="0.35">
      <c r="A41" s="1" t="s">
        <v>201</v>
      </c>
      <c r="B41" s="2" t="s">
        <v>110</v>
      </c>
      <c r="C41" s="2" t="s">
        <v>265</v>
      </c>
      <c r="D41" s="1">
        <v>4</v>
      </c>
      <c r="E41" s="1">
        <v>4</v>
      </c>
      <c r="F41" s="1">
        <v>2</v>
      </c>
      <c r="G41" s="1">
        <v>10</v>
      </c>
      <c r="H41" s="2" t="s">
        <v>269</v>
      </c>
    </row>
    <row r="42" spans="1:8" ht="42" x14ac:dyDescent="0.35">
      <c r="A42" s="1" t="s">
        <v>202</v>
      </c>
      <c r="B42" s="2" t="s">
        <v>60</v>
      </c>
      <c r="C42" s="2" t="s">
        <v>265</v>
      </c>
      <c r="D42" s="1">
        <v>4</v>
      </c>
      <c r="E42" s="1">
        <v>4</v>
      </c>
      <c r="F42" s="1">
        <v>2</v>
      </c>
      <c r="G42" s="1">
        <v>10</v>
      </c>
      <c r="H42" s="2" t="s">
        <v>269</v>
      </c>
    </row>
    <row r="43" spans="1:8" ht="28" x14ac:dyDescent="0.35">
      <c r="A43" s="1" t="s">
        <v>204</v>
      </c>
      <c r="B43" s="2" t="s">
        <v>82</v>
      </c>
      <c r="C43" s="2" t="s">
        <v>265</v>
      </c>
      <c r="D43" s="1">
        <v>4</v>
      </c>
      <c r="E43" s="1">
        <v>4</v>
      </c>
      <c r="F43" s="1">
        <v>2</v>
      </c>
      <c r="G43" s="1">
        <v>10</v>
      </c>
      <c r="H43" s="2" t="s">
        <v>269</v>
      </c>
    </row>
    <row r="44" spans="1:8" ht="84" x14ac:dyDescent="0.35">
      <c r="A44" s="1" t="s">
        <v>205</v>
      </c>
      <c r="B44" s="2" t="s">
        <v>58</v>
      </c>
      <c r="C44" s="2" t="s">
        <v>64</v>
      </c>
      <c r="D44" s="1">
        <v>4</v>
      </c>
      <c r="E44" s="1">
        <v>4</v>
      </c>
      <c r="F44" s="1">
        <v>2</v>
      </c>
      <c r="G44" s="1">
        <v>10</v>
      </c>
      <c r="H44" s="2" t="s">
        <v>270</v>
      </c>
    </row>
    <row r="45" spans="1:8" ht="84" x14ac:dyDescent="0.35">
      <c r="A45" s="1" t="s">
        <v>206</v>
      </c>
      <c r="B45" s="2" t="s">
        <v>56</v>
      </c>
      <c r="C45" s="2" t="s">
        <v>64</v>
      </c>
      <c r="D45" s="1">
        <v>4</v>
      </c>
      <c r="E45" s="1">
        <v>4</v>
      </c>
      <c r="F45" s="1">
        <v>2</v>
      </c>
      <c r="G45" s="1">
        <v>10</v>
      </c>
      <c r="H45" s="2" t="s">
        <v>270</v>
      </c>
    </row>
    <row r="46" spans="1:8" ht="56" x14ac:dyDescent="0.35">
      <c r="A46" s="1" t="s">
        <v>207</v>
      </c>
      <c r="B46" s="2" t="s">
        <v>156</v>
      </c>
      <c r="C46" s="2" t="s">
        <v>64</v>
      </c>
      <c r="D46" s="1">
        <v>4</v>
      </c>
      <c r="E46" s="1">
        <v>4</v>
      </c>
      <c r="F46" s="1">
        <v>2</v>
      </c>
      <c r="G46" s="1">
        <v>10</v>
      </c>
      <c r="H46" s="2" t="s">
        <v>271</v>
      </c>
    </row>
    <row r="47" spans="1:8" ht="56" x14ac:dyDescent="0.35">
      <c r="A47" s="1" t="s">
        <v>208</v>
      </c>
      <c r="B47" s="2" t="s">
        <v>159</v>
      </c>
      <c r="C47" s="2" t="s">
        <v>64</v>
      </c>
      <c r="D47" s="1">
        <v>4</v>
      </c>
      <c r="E47" s="1">
        <v>4</v>
      </c>
      <c r="F47" s="1">
        <v>2</v>
      </c>
      <c r="G47" s="1">
        <v>10</v>
      </c>
      <c r="H47" s="2" t="s">
        <v>271</v>
      </c>
    </row>
    <row r="48" spans="1:8" ht="84" x14ac:dyDescent="0.35">
      <c r="A48" s="1" t="s">
        <v>209</v>
      </c>
      <c r="B48" s="2" t="s">
        <v>219</v>
      </c>
      <c r="C48" s="2" t="s">
        <v>64</v>
      </c>
      <c r="D48" s="1">
        <v>4</v>
      </c>
      <c r="E48" s="1">
        <v>4</v>
      </c>
      <c r="F48" s="1">
        <v>2</v>
      </c>
      <c r="G48" s="1">
        <v>10</v>
      </c>
      <c r="H48" s="2" t="s">
        <v>272</v>
      </c>
    </row>
    <row r="49" spans="1:8" ht="84" x14ac:dyDescent="0.35">
      <c r="A49" s="1" t="s">
        <v>211</v>
      </c>
      <c r="B49" s="2" t="s">
        <v>67</v>
      </c>
      <c r="C49" s="2" t="s">
        <v>64</v>
      </c>
      <c r="D49" s="1">
        <v>4</v>
      </c>
      <c r="E49" s="1">
        <v>4</v>
      </c>
      <c r="F49" s="1">
        <v>2</v>
      </c>
      <c r="G49" s="1">
        <v>10</v>
      </c>
      <c r="H49" s="2" t="s">
        <v>273</v>
      </c>
    </row>
    <row r="50" spans="1:8" ht="42" x14ac:dyDescent="0.35">
      <c r="A50" s="1" t="s">
        <v>213</v>
      </c>
      <c r="B50" s="2" t="s">
        <v>68</v>
      </c>
      <c r="C50" s="2" t="s">
        <v>64</v>
      </c>
      <c r="D50" s="1">
        <v>4</v>
      </c>
      <c r="E50" s="1">
        <v>4</v>
      </c>
      <c r="F50" s="1">
        <v>2</v>
      </c>
      <c r="G50" s="1">
        <v>10</v>
      </c>
      <c r="H50" s="2" t="s">
        <v>274</v>
      </c>
    </row>
    <row r="51" spans="1:8" ht="84" x14ac:dyDescent="0.35">
      <c r="A51" s="1" t="s">
        <v>215</v>
      </c>
      <c r="B51" s="2" t="s">
        <v>135</v>
      </c>
      <c r="C51" s="2" t="s">
        <v>253</v>
      </c>
      <c r="D51" s="1">
        <v>4</v>
      </c>
      <c r="E51" s="1">
        <v>4</v>
      </c>
      <c r="F51" s="1">
        <v>2</v>
      </c>
      <c r="G51" s="1">
        <v>10</v>
      </c>
      <c r="H51" s="2" t="s">
        <v>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B876-C045-46EF-B3DE-17C91C6D9AD8}">
  <dimension ref="A1:H51"/>
  <sheetViews>
    <sheetView workbookViewId="0">
      <selection activeCell="J3" sqref="J3"/>
    </sheetView>
  </sheetViews>
  <sheetFormatPr defaultRowHeight="14.5" x14ac:dyDescent="0.35"/>
  <sheetData>
    <row r="1" spans="1:8" ht="70" x14ac:dyDescent="0.35">
      <c r="A1" s="1" t="s">
        <v>71</v>
      </c>
      <c r="B1" s="1" t="s">
        <v>72</v>
      </c>
      <c r="C1" s="1" t="s">
        <v>1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 ht="126" x14ac:dyDescent="0.35">
      <c r="A2" s="2">
        <v>1</v>
      </c>
      <c r="B2" s="1" t="s">
        <v>4</v>
      </c>
      <c r="C2" s="2" t="s">
        <v>5</v>
      </c>
      <c r="D2" s="2">
        <v>4</v>
      </c>
      <c r="E2" s="2">
        <v>4</v>
      </c>
      <c r="F2" s="2">
        <v>2</v>
      </c>
      <c r="G2" s="1">
        <v>10</v>
      </c>
      <c r="H2" s="2" t="s">
        <v>78</v>
      </c>
    </row>
    <row r="3" spans="1:8" ht="126" x14ac:dyDescent="0.35">
      <c r="A3" s="2">
        <v>2</v>
      </c>
      <c r="B3" s="1" t="s">
        <v>79</v>
      </c>
      <c r="C3" s="2" t="s">
        <v>13</v>
      </c>
      <c r="D3" s="2">
        <v>4</v>
      </c>
      <c r="E3" s="2">
        <v>4</v>
      </c>
      <c r="F3" s="2">
        <v>2</v>
      </c>
      <c r="G3" s="1">
        <v>10</v>
      </c>
      <c r="H3" s="2" t="s">
        <v>80</v>
      </c>
    </row>
    <row r="4" spans="1:8" ht="121.5" x14ac:dyDescent="0.35">
      <c r="A4" s="2">
        <v>3</v>
      </c>
      <c r="B4" s="1" t="s">
        <v>6</v>
      </c>
      <c r="C4" s="2" t="s">
        <v>7</v>
      </c>
      <c r="D4" s="2">
        <v>4</v>
      </c>
      <c r="E4" s="2">
        <v>3</v>
      </c>
      <c r="F4" s="2">
        <v>2</v>
      </c>
      <c r="G4" s="1">
        <v>9</v>
      </c>
      <c r="H4" s="2" t="s">
        <v>81</v>
      </c>
    </row>
    <row r="5" spans="1:8" ht="140" x14ac:dyDescent="0.35">
      <c r="A5" s="2">
        <v>4</v>
      </c>
      <c r="B5" s="1" t="s">
        <v>82</v>
      </c>
      <c r="C5" s="2" t="s">
        <v>83</v>
      </c>
      <c r="D5" s="2">
        <v>4</v>
      </c>
      <c r="E5" s="2">
        <v>4</v>
      </c>
      <c r="F5" s="2">
        <v>1</v>
      </c>
      <c r="G5" s="1">
        <v>9</v>
      </c>
      <c r="H5" s="2" t="s">
        <v>84</v>
      </c>
    </row>
    <row r="6" spans="1:8" ht="126" x14ac:dyDescent="0.35">
      <c r="A6" s="2">
        <v>5</v>
      </c>
      <c r="B6" s="1" t="s">
        <v>22</v>
      </c>
      <c r="C6" s="2" t="s">
        <v>23</v>
      </c>
      <c r="D6" s="2">
        <v>4</v>
      </c>
      <c r="E6" s="2">
        <v>4</v>
      </c>
      <c r="F6" s="2">
        <v>1</v>
      </c>
      <c r="G6" s="1">
        <v>9</v>
      </c>
      <c r="H6" s="2" t="s">
        <v>85</v>
      </c>
    </row>
    <row r="7" spans="1:8" ht="121.5" x14ac:dyDescent="0.35">
      <c r="A7" s="2">
        <v>6</v>
      </c>
      <c r="B7" s="1" t="s">
        <v>25</v>
      </c>
      <c r="C7" s="2" t="s">
        <v>26</v>
      </c>
      <c r="D7" s="2">
        <v>3</v>
      </c>
      <c r="E7" s="2">
        <v>4</v>
      </c>
      <c r="F7" s="2">
        <v>2</v>
      </c>
      <c r="G7" s="1">
        <v>9</v>
      </c>
      <c r="H7" s="2" t="s">
        <v>86</v>
      </c>
    </row>
    <row r="8" spans="1:8" ht="135.5" x14ac:dyDescent="0.35">
      <c r="A8" s="2">
        <v>7</v>
      </c>
      <c r="B8" s="1" t="s">
        <v>28</v>
      </c>
      <c r="C8" s="2" t="s">
        <v>29</v>
      </c>
      <c r="D8" s="2">
        <v>4</v>
      </c>
      <c r="E8" s="2">
        <v>3</v>
      </c>
      <c r="F8" s="2">
        <v>2</v>
      </c>
      <c r="G8" s="1">
        <v>9</v>
      </c>
      <c r="H8" s="2" t="s">
        <v>87</v>
      </c>
    </row>
    <row r="9" spans="1:8" ht="121.5" x14ac:dyDescent="0.35">
      <c r="A9" s="2">
        <v>8</v>
      </c>
      <c r="B9" s="1" t="s">
        <v>49</v>
      </c>
      <c r="C9" s="2" t="s">
        <v>50</v>
      </c>
      <c r="D9" s="2">
        <v>3</v>
      </c>
      <c r="E9" s="2">
        <v>4</v>
      </c>
      <c r="F9" s="2">
        <v>2</v>
      </c>
      <c r="G9" s="1">
        <v>9</v>
      </c>
      <c r="H9" s="2" t="s">
        <v>88</v>
      </c>
    </row>
    <row r="10" spans="1:8" ht="98" x14ac:dyDescent="0.35">
      <c r="A10" s="2">
        <v>9</v>
      </c>
      <c r="B10" s="1" t="s">
        <v>89</v>
      </c>
      <c r="C10" s="2" t="s">
        <v>89</v>
      </c>
      <c r="D10" s="2">
        <v>3</v>
      </c>
      <c r="E10" s="2">
        <v>4</v>
      </c>
      <c r="F10" s="2">
        <v>2</v>
      </c>
      <c r="G10" s="1">
        <v>9</v>
      </c>
      <c r="H10" s="2" t="s">
        <v>90</v>
      </c>
    </row>
    <row r="11" spans="1:8" ht="126" x14ac:dyDescent="0.35">
      <c r="A11" s="2">
        <v>10</v>
      </c>
      <c r="B11" s="1" t="s">
        <v>14</v>
      </c>
      <c r="C11" s="2" t="s">
        <v>15</v>
      </c>
      <c r="D11" s="2">
        <v>3</v>
      </c>
      <c r="E11" s="2">
        <v>3</v>
      </c>
      <c r="F11" s="2">
        <v>2</v>
      </c>
      <c r="G11" s="1">
        <v>8</v>
      </c>
      <c r="H11" s="2" t="s">
        <v>91</v>
      </c>
    </row>
    <row r="12" spans="1:8" ht="140" x14ac:dyDescent="0.35">
      <c r="A12" s="2">
        <v>11</v>
      </c>
      <c r="B12" s="1" t="s">
        <v>8</v>
      </c>
      <c r="C12" s="2" t="s">
        <v>9</v>
      </c>
      <c r="D12" s="2">
        <v>4</v>
      </c>
      <c r="E12" s="2">
        <v>2</v>
      </c>
      <c r="F12" s="2">
        <v>2</v>
      </c>
      <c r="G12" s="1">
        <v>8</v>
      </c>
      <c r="H12" s="2" t="s">
        <v>92</v>
      </c>
    </row>
    <row r="13" spans="1:8" ht="98" x14ac:dyDescent="0.35">
      <c r="A13" s="2">
        <v>12</v>
      </c>
      <c r="B13" s="1" t="s">
        <v>65</v>
      </c>
      <c r="C13" s="2" t="s">
        <v>24</v>
      </c>
      <c r="D13" s="2">
        <v>3</v>
      </c>
      <c r="E13" s="2">
        <v>3</v>
      </c>
      <c r="F13" s="2">
        <v>2</v>
      </c>
      <c r="G13" s="1">
        <v>8</v>
      </c>
      <c r="H13" s="2" t="s">
        <v>93</v>
      </c>
    </row>
    <row r="14" spans="1:8" ht="107.5" x14ac:dyDescent="0.35">
      <c r="A14" s="2">
        <v>13</v>
      </c>
      <c r="B14" s="1" t="s">
        <v>20</v>
      </c>
      <c r="C14" s="2" t="s">
        <v>21</v>
      </c>
      <c r="D14" s="2">
        <v>3</v>
      </c>
      <c r="E14" s="2">
        <v>3</v>
      </c>
      <c r="F14" s="2">
        <v>2</v>
      </c>
      <c r="G14" s="1">
        <v>8</v>
      </c>
      <c r="H14" s="2" t="s">
        <v>94</v>
      </c>
    </row>
    <row r="15" spans="1:8" ht="126" x14ac:dyDescent="0.35">
      <c r="A15" s="2">
        <v>14</v>
      </c>
      <c r="B15" s="1" t="s">
        <v>54</v>
      </c>
      <c r="C15" s="2" t="s">
        <v>55</v>
      </c>
      <c r="D15" s="2">
        <v>3</v>
      </c>
      <c r="E15" s="2">
        <v>3</v>
      </c>
      <c r="F15" s="2">
        <v>2</v>
      </c>
      <c r="G15" s="1">
        <v>8</v>
      </c>
      <c r="H15" s="2" t="s">
        <v>95</v>
      </c>
    </row>
    <row r="16" spans="1:8" ht="112" x14ac:dyDescent="0.35">
      <c r="A16" s="2">
        <v>15</v>
      </c>
      <c r="B16" s="1" t="s">
        <v>36</v>
      </c>
      <c r="C16" s="2" t="s">
        <v>37</v>
      </c>
      <c r="D16" s="2">
        <v>3</v>
      </c>
      <c r="E16" s="2">
        <v>3</v>
      </c>
      <c r="F16" s="2">
        <v>2</v>
      </c>
      <c r="G16" s="1">
        <v>8</v>
      </c>
      <c r="H16" s="2" t="s">
        <v>96</v>
      </c>
    </row>
    <row r="17" spans="1:8" ht="112" x14ac:dyDescent="0.35">
      <c r="A17" s="2">
        <v>16</v>
      </c>
      <c r="B17" s="1" t="s">
        <v>97</v>
      </c>
      <c r="C17" s="2" t="s">
        <v>98</v>
      </c>
      <c r="D17" s="2">
        <v>3</v>
      </c>
      <c r="E17" s="2">
        <v>4</v>
      </c>
      <c r="F17" s="2">
        <v>1</v>
      </c>
      <c r="G17" s="1">
        <v>8</v>
      </c>
      <c r="H17" s="2" t="s">
        <v>99</v>
      </c>
    </row>
    <row r="18" spans="1:8" ht="112" x14ac:dyDescent="0.35">
      <c r="A18" s="2">
        <v>17</v>
      </c>
      <c r="B18" s="1" t="s">
        <v>48</v>
      </c>
      <c r="C18" s="2" t="s">
        <v>100</v>
      </c>
      <c r="D18" s="2">
        <v>3</v>
      </c>
      <c r="E18" s="2">
        <v>3</v>
      </c>
      <c r="F18" s="2">
        <v>2</v>
      </c>
      <c r="G18" s="1">
        <v>8</v>
      </c>
      <c r="H18" s="2" t="s">
        <v>101</v>
      </c>
    </row>
    <row r="19" spans="1:8" ht="98" x14ac:dyDescent="0.35">
      <c r="A19" s="2">
        <v>18</v>
      </c>
      <c r="B19" s="1" t="s">
        <v>68</v>
      </c>
      <c r="C19" s="2" t="s">
        <v>102</v>
      </c>
      <c r="D19" s="2">
        <v>3</v>
      </c>
      <c r="E19" s="2">
        <v>3</v>
      </c>
      <c r="F19" s="2">
        <v>2</v>
      </c>
      <c r="G19" s="1">
        <v>8</v>
      </c>
      <c r="H19" s="2" t="s">
        <v>103</v>
      </c>
    </row>
    <row r="20" spans="1:8" ht="126" x14ac:dyDescent="0.35">
      <c r="A20" s="2">
        <v>19</v>
      </c>
      <c r="B20" s="1" t="s">
        <v>104</v>
      </c>
      <c r="C20" s="2" t="s">
        <v>105</v>
      </c>
      <c r="D20" s="2">
        <v>3</v>
      </c>
      <c r="E20" s="2">
        <v>3</v>
      </c>
      <c r="F20" s="2">
        <v>2</v>
      </c>
      <c r="G20" s="1">
        <v>8</v>
      </c>
      <c r="H20" s="2" t="s">
        <v>106</v>
      </c>
    </row>
    <row r="21" spans="1:8" ht="98" x14ac:dyDescent="0.35">
      <c r="A21" s="2">
        <v>20</v>
      </c>
      <c r="B21" s="1" t="s">
        <v>11</v>
      </c>
      <c r="C21" s="2" t="s">
        <v>12</v>
      </c>
      <c r="D21" s="2">
        <v>4</v>
      </c>
      <c r="E21" s="2">
        <v>2</v>
      </c>
      <c r="F21" s="2">
        <v>1</v>
      </c>
      <c r="G21" s="1">
        <v>7</v>
      </c>
      <c r="H21" s="2" t="s">
        <v>107</v>
      </c>
    </row>
    <row r="22" spans="1:8" ht="112" x14ac:dyDescent="0.35">
      <c r="A22" s="2">
        <v>21</v>
      </c>
      <c r="B22" s="1" t="s">
        <v>18</v>
      </c>
      <c r="C22" s="2" t="s">
        <v>19</v>
      </c>
      <c r="D22" s="2">
        <v>3</v>
      </c>
      <c r="E22" s="2">
        <v>3</v>
      </c>
      <c r="F22" s="2">
        <v>1</v>
      </c>
      <c r="G22" s="1">
        <v>7</v>
      </c>
      <c r="H22" s="2" t="s">
        <v>108</v>
      </c>
    </row>
    <row r="23" spans="1:8" ht="112" x14ac:dyDescent="0.35">
      <c r="A23" s="2">
        <v>22</v>
      </c>
      <c r="B23" s="1" t="s">
        <v>34</v>
      </c>
      <c r="C23" s="2" t="s">
        <v>35</v>
      </c>
      <c r="D23" s="2">
        <v>3</v>
      </c>
      <c r="E23" s="2">
        <v>3</v>
      </c>
      <c r="F23" s="2">
        <v>1</v>
      </c>
      <c r="G23" s="1">
        <v>7</v>
      </c>
      <c r="H23" s="2" t="s">
        <v>109</v>
      </c>
    </row>
    <row r="24" spans="1:8" ht="98" x14ac:dyDescent="0.35">
      <c r="A24" s="2">
        <v>23</v>
      </c>
      <c r="B24" s="1" t="s">
        <v>110</v>
      </c>
      <c r="C24" s="2" t="s">
        <v>111</v>
      </c>
      <c r="D24" s="2">
        <v>3</v>
      </c>
      <c r="E24" s="2">
        <v>3</v>
      </c>
      <c r="F24" s="2">
        <v>1</v>
      </c>
      <c r="G24" s="1">
        <v>7</v>
      </c>
      <c r="H24" s="2" t="s">
        <v>112</v>
      </c>
    </row>
    <row r="25" spans="1:8" ht="98" x14ac:dyDescent="0.35">
      <c r="A25" s="2">
        <v>24</v>
      </c>
      <c r="B25" s="1" t="s">
        <v>113</v>
      </c>
      <c r="C25" s="2" t="s">
        <v>60</v>
      </c>
      <c r="D25" s="2">
        <v>2</v>
      </c>
      <c r="E25" s="2">
        <v>3</v>
      </c>
      <c r="F25" s="2">
        <v>2</v>
      </c>
      <c r="G25" s="1">
        <v>7</v>
      </c>
      <c r="H25" s="2" t="s">
        <v>114</v>
      </c>
    </row>
    <row r="26" spans="1:8" ht="112" x14ac:dyDescent="0.35">
      <c r="A26" s="2">
        <v>25</v>
      </c>
      <c r="B26" s="1" t="s">
        <v>115</v>
      </c>
      <c r="C26" s="2" t="s">
        <v>116</v>
      </c>
      <c r="D26" s="2">
        <v>2</v>
      </c>
      <c r="E26" s="2">
        <v>3</v>
      </c>
      <c r="F26" s="2">
        <v>2</v>
      </c>
      <c r="G26" s="1">
        <v>7</v>
      </c>
      <c r="H26" s="2" t="s">
        <v>117</v>
      </c>
    </row>
    <row r="27" spans="1:8" ht="98" x14ac:dyDescent="0.35">
      <c r="A27" s="2">
        <v>26</v>
      </c>
      <c r="B27" s="1" t="s">
        <v>51</v>
      </c>
      <c r="C27" s="2" t="s">
        <v>52</v>
      </c>
      <c r="D27" s="2">
        <v>3</v>
      </c>
      <c r="E27" s="2">
        <v>3</v>
      </c>
      <c r="F27" s="2">
        <v>1</v>
      </c>
      <c r="G27" s="1">
        <v>7</v>
      </c>
      <c r="H27" s="2" t="s">
        <v>118</v>
      </c>
    </row>
    <row r="28" spans="1:8" ht="98" x14ac:dyDescent="0.35">
      <c r="A28" s="2">
        <v>27</v>
      </c>
      <c r="B28" s="1" t="s">
        <v>119</v>
      </c>
      <c r="C28" s="2" t="s">
        <v>120</v>
      </c>
      <c r="D28" s="2">
        <v>2</v>
      </c>
      <c r="E28" s="2">
        <v>3</v>
      </c>
      <c r="F28" s="2">
        <v>2</v>
      </c>
      <c r="G28" s="1">
        <v>7</v>
      </c>
      <c r="H28" s="2" t="s">
        <v>121</v>
      </c>
    </row>
    <row r="29" spans="1:8" ht="126" x14ac:dyDescent="0.35">
      <c r="A29" s="2">
        <v>28</v>
      </c>
      <c r="B29" s="1" t="s">
        <v>66</v>
      </c>
      <c r="C29" s="2" t="s">
        <v>53</v>
      </c>
      <c r="D29" s="2">
        <v>3</v>
      </c>
      <c r="E29" s="2">
        <v>3</v>
      </c>
      <c r="F29" s="2">
        <v>1</v>
      </c>
      <c r="G29" s="1">
        <v>7</v>
      </c>
      <c r="H29" s="2" t="s">
        <v>122</v>
      </c>
    </row>
    <row r="30" spans="1:8" ht="98" x14ac:dyDescent="0.35">
      <c r="A30" s="2">
        <v>29</v>
      </c>
      <c r="B30" s="1" t="s">
        <v>123</v>
      </c>
      <c r="C30" s="2" t="s">
        <v>124</v>
      </c>
      <c r="D30" s="2">
        <v>2</v>
      </c>
      <c r="E30" s="2">
        <v>3</v>
      </c>
      <c r="F30" s="2">
        <v>2</v>
      </c>
      <c r="G30" s="1">
        <v>7</v>
      </c>
      <c r="H30" s="2" t="s">
        <v>125</v>
      </c>
    </row>
    <row r="31" spans="1:8" ht="98" x14ac:dyDescent="0.35">
      <c r="A31" s="2">
        <v>30</v>
      </c>
      <c r="B31" s="1" t="s">
        <v>126</v>
      </c>
      <c r="C31" s="2" t="s">
        <v>127</v>
      </c>
      <c r="D31" s="2">
        <v>2</v>
      </c>
      <c r="E31" s="2">
        <v>3</v>
      </c>
      <c r="F31" s="2">
        <v>2</v>
      </c>
      <c r="G31" s="1">
        <v>7</v>
      </c>
      <c r="H31" s="2" t="s">
        <v>128</v>
      </c>
    </row>
    <row r="32" spans="1:8" ht="112" x14ac:dyDescent="0.35">
      <c r="A32" s="2">
        <v>31</v>
      </c>
      <c r="B32" s="1" t="s">
        <v>10</v>
      </c>
      <c r="C32" s="2" t="s">
        <v>10</v>
      </c>
      <c r="D32" s="2">
        <v>3</v>
      </c>
      <c r="E32" s="2">
        <v>2</v>
      </c>
      <c r="F32" s="2">
        <v>1</v>
      </c>
      <c r="G32" s="1">
        <v>6</v>
      </c>
      <c r="H32" s="2" t="s">
        <v>129</v>
      </c>
    </row>
    <row r="33" spans="1:8" ht="98" x14ac:dyDescent="0.35">
      <c r="A33" s="2">
        <v>32</v>
      </c>
      <c r="B33" s="1" t="s">
        <v>27</v>
      </c>
      <c r="C33" s="2" t="s">
        <v>27</v>
      </c>
      <c r="D33" s="2">
        <v>2</v>
      </c>
      <c r="E33" s="2">
        <v>3</v>
      </c>
      <c r="F33" s="2">
        <v>1</v>
      </c>
      <c r="G33" s="1">
        <v>6</v>
      </c>
      <c r="H33" s="2" t="s">
        <v>130</v>
      </c>
    </row>
    <row r="34" spans="1:8" ht="112" x14ac:dyDescent="0.35">
      <c r="A34" s="2">
        <v>33</v>
      </c>
      <c r="B34" s="1" t="s">
        <v>40</v>
      </c>
      <c r="C34" s="2" t="s">
        <v>41</v>
      </c>
      <c r="D34" s="2">
        <v>3</v>
      </c>
      <c r="E34" s="2">
        <v>3</v>
      </c>
      <c r="F34" s="2">
        <v>0</v>
      </c>
      <c r="G34" s="1">
        <v>6</v>
      </c>
      <c r="H34" s="2" t="s">
        <v>131</v>
      </c>
    </row>
    <row r="35" spans="1:8" ht="98" x14ac:dyDescent="0.35">
      <c r="A35" s="2">
        <v>34</v>
      </c>
      <c r="B35" s="1" t="s">
        <v>42</v>
      </c>
      <c r="C35" s="2" t="s">
        <v>43</v>
      </c>
      <c r="D35" s="2">
        <v>3</v>
      </c>
      <c r="E35" s="2">
        <v>2</v>
      </c>
      <c r="F35" s="2">
        <v>1</v>
      </c>
      <c r="G35" s="1">
        <v>6</v>
      </c>
      <c r="H35" s="2" t="s">
        <v>132</v>
      </c>
    </row>
    <row r="36" spans="1:8" ht="98" x14ac:dyDescent="0.35">
      <c r="A36" s="2">
        <v>35</v>
      </c>
      <c r="B36" s="1" t="s">
        <v>44</v>
      </c>
      <c r="C36" s="2" t="s">
        <v>45</v>
      </c>
      <c r="D36" s="2">
        <v>3</v>
      </c>
      <c r="E36" s="2">
        <v>2</v>
      </c>
      <c r="F36" s="2">
        <v>1</v>
      </c>
      <c r="G36" s="1">
        <v>6</v>
      </c>
      <c r="H36" s="2" t="s">
        <v>133</v>
      </c>
    </row>
    <row r="37" spans="1:8" ht="98" x14ac:dyDescent="0.35">
      <c r="A37" s="2">
        <v>36</v>
      </c>
      <c r="B37" s="1" t="s">
        <v>69</v>
      </c>
      <c r="C37" s="2" t="s">
        <v>69</v>
      </c>
      <c r="D37" s="2">
        <v>3</v>
      </c>
      <c r="E37" s="2">
        <v>2</v>
      </c>
      <c r="F37" s="2">
        <v>1</v>
      </c>
      <c r="G37" s="1">
        <v>6</v>
      </c>
      <c r="H37" s="2" t="s">
        <v>134</v>
      </c>
    </row>
    <row r="38" spans="1:8" ht="98" x14ac:dyDescent="0.35">
      <c r="A38" s="2">
        <v>37</v>
      </c>
      <c r="B38" s="1" t="s">
        <v>135</v>
      </c>
      <c r="C38" s="2" t="s">
        <v>136</v>
      </c>
      <c r="D38" s="2">
        <v>3</v>
      </c>
      <c r="E38" s="2">
        <v>2</v>
      </c>
      <c r="F38" s="2">
        <v>1</v>
      </c>
      <c r="G38" s="1">
        <v>6</v>
      </c>
      <c r="H38" s="2" t="s">
        <v>137</v>
      </c>
    </row>
    <row r="39" spans="1:8" ht="98" x14ac:dyDescent="0.35">
      <c r="A39" s="2">
        <v>38</v>
      </c>
      <c r="B39" s="1" t="s">
        <v>58</v>
      </c>
      <c r="C39" s="2" t="s">
        <v>59</v>
      </c>
      <c r="D39" s="2">
        <v>2</v>
      </c>
      <c r="E39" s="2">
        <v>2</v>
      </c>
      <c r="F39" s="2">
        <v>2</v>
      </c>
      <c r="G39" s="1">
        <v>6</v>
      </c>
      <c r="H39" s="2" t="s">
        <v>138</v>
      </c>
    </row>
    <row r="40" spans="1:8" ht="126" x14ac:dyDescent="0.35">
      <c r="A40" s="2">
        <v>39</v>
      </c>
      <c r="B40" s="1" t="s">
        <v>56</v>
      </c>
      <c r="C40" s="2" t="s">
        <v>57</v>
      </c>
      <c r="D40" s="2">
        <v>2</v>
      </c>
      <c r="E40" s="2">
        <v>2</v>
      </c>
      <c r="F40" s="2">
        <v>2</v>
      </c>
      <c r="G40" s="1">
        <v>6</v>
      </c>
      <c r="H40" s="2" t="s">
        <v>139</v>
      </c>
    </row>
    <row r="41" spans="1:8" ht="98" x14ac:dyDescent="0.35">
      <c r="A41" s="2">
        <v>40</v>
      </c>
      <c r="B41" s="1" t="s">
        <v>140</v>
      </c>
      <c r="C41" s="2" t="s">
        <v>140</v>
      </c>
      <c r="D41" s="2">
        <v>2</v>
      </c>
      <c r="E41" s="2">
        <v>2</v>
      </c>
      <c r="F41" s="2">
        <v>2</v>
      </c>
      <c r="G41" s="1">
        <v>6</v>
      </c>
      <c r="H41" s="2" t="s">
        <v>141</v>
      </c>
    </row>
    <row r="42" spans="1:8" ht="112" x14ac:dyDescent="0.35">
      <c r="A42" s="2">
        <v>41</v>
      </c>
      <c r="B42" s="1" t="s">
        <v>142</v>
      </c>
      <c r="C42" s="2" t="s">
        <v>143</v>
      </c>
      <c r="D42" s="2">
        <v>2</v>
      </c>
      <c r="E42" s="2">
        <v>2</v>
      </c>
      <c r="F42" s="2">
        <v>2</v>
      </c>
      <c r="G42" s="1">
        <v>6</v>
      </c>
      <c r="H42" s="2" t="s">
        <v>144</v>
      </c>
    </row>
    <row r="43" spans="1:8" ht="112" x14ac:dyDescent="0.35">
      <c r="A43" s="2">
        <v>42</v>
      </c>
      <c r="B43" s="1" t="s">
        <v>145</v>
      </c>
      <c r="C43" s="2" t="s">
        <v>146</v>
      </c>
      <c r="D43" s="2">
        <v>3</v>
      </c>
      <c r="E43" s="2">
        <v>1</v>
      </c>
      <c r="F43" s="2">
        <v>2</v>
      </c>
      <c r="G43" s="1">
        <v>6</v>
      </c>
      <c r="H43" s="2" t="s">
        <v>147</v>
      </c>
    </row>
    <row r="44" spans="1:8" ht="112" x14ac:dyDescent="0.35">
      <c r="A44" s="2">
        <v>43</v>
      </c>
      <c r="B44" s="1" t="s">
        <v>30</v>
      </c>
      <c r="C44" s="2" t="s">
        <v>31</v>
      </c>
      <c r="D44" s="2">
        <v>2</v>
      </c>
      <c r="E44" s="2">
        <v>3</v>
      </c>
      <c r="F44" s="2">
        <v>0</v>
      </c>
      <c r="G44" s="1">
        <v>5</v>
      </c>
      <c r="H44" s="2" t="s">
        <v>148</v>
      </c>
    </row>
    <row r="45" spans="1:8" ht="98" x14ac:dyDescent="0.35">
      <c r="A45" s="2">
        <v>44</v>
      </c>
      <c r="B45" s="1" t="s">
        <v>32</v>
      </c>
      <c r="C45" s="2" t="s">
        <v>33</v>
      </c>
      <c r="D45" s="2">
        <v>2</v>
      </c>
      <c r="E45" s="2">
        <v>3</v>
      </c>
      <c r="F45" s="2">
        <v>0</v>
      </c>
      <c r="G45" s="1">
        <v>5</v>
      </c>
      <c r="H45" s="2" t="s">
        <v>149</v>
      </c>
    </row>
    <row r="46" spans="1:8" ht="107.5" x14ac:dyDescent="0.35">
      <c r="A46" s="2">
        <v>45</v>
      </c>
      <c r="B46" s="1" t="s">
        <v>46</v>
      </c>
      <c r="C46" s="2" t="s">
        <v>47</v>
      </c>
      <c r="D46" s="2">
        <v>2</v>
      </c>
      <c r="E46" s="2">
        <v>2</v>
      </c>
      <c r="F46" s="2">
        <v>1</v>
      </c>
      <c r="G46" s="1">
        <v>5</v>
      </c>
      <c r="H46" s="2" t="s">
        <v>150</v>
      </c>
    </row>
    <row r="47" spans="1:8" ht="112" x14ac:dyDescent="0.35">
      <c r="A47" s="2">
        <v>46</v>
      </c>
      <c r="B47" s="1" t="s">
        <v>38</v>
      </c>
      <c r="C47" s="2" t="s">
        <v>39</v>
      </c>
      <c r="D47" s="2">
        <v>2</v>
      </c>
      <c r="E47" s="2">
        <v>1</v>
      </c>
      <c r="F47" s="2">
        <v>2</v>
      </c>
      <c r="G47" s="1">
        <v>5</v>
      </c>
      <c r="H47" s="2" t="s">
        <v>151</v>
      </c>
    </row>
    <row r="48" spans="1:8" ht="112" x14ac:dyDescent="0.35">
      <c r="A48" s="2">
        <v>47</v>
      </c>
      <c r="B48" s="1" t="s">
        <v>152</v>
      </c>
      <c r="C48" s="2" t="s">
        <v>17</v>
      </c>
      <c r="D48" s="2">
        <v>3</v>
      </c>
      <c r="E48" s="2">
        <v>1</v>
      </c>
      <c r="F48" s="2">
        <v>1</v>
      </c>
      <c r="G48" s="1">
        <v>5</v>
      </c>
      <c r="H48" s="2" t="s">
        <v>153</v>
      </c>
    </row>
    <row r="49" spans="1:8" ht="112" x14ac:dyDescent="0.35">
      <c r="A49" s="2">
        <v>48</v>
      </c>
      <c r="B49" s="1" t="s">
        <v>70</v>
      </c>
      <c r="C49" s="2" t="s">
        <v>154</v>
      </c>
      <c r="D49" s="2">
        <v>1</v>
      </c>
      <c r="E49" s="2">
        <v>2</v>
      </c>
      <c r="F49" s="2">
        <v>2</v>
      </c>
      <c r="G49" s="1">
        <v>5</v>
      </c>
      <c r="H49" s="2" t="s">
        <v>155</v>
      </c>
    </row>
    <row r="50" spans="1:8" ht="98" x14ac:dyDescent="0.35">
      <c r="A50" s="2">
        <v>49</v>
      </c>
      <c r="B50" s="1" t="s">
        <v>156</v>
      </c>
      <c r="C50" s="2" t="s">
        <v>157</v>
      </c>
      <c r="D50" s="2">
        <v>1</v>
      </c>
      <c r="E50" s="2">
        <v>2</v>
      </c>
      <c r="F50" s="2">
        <v>2</v>
      </c>
      <c r="G50" s="1">
        <v>5</v>
      </c>
      <c r="H50" s="2" t="s">
        <v>158</v>
      </c>
    </row>
    <row r="51" spans="1:8" ht="98" x14ac:dyDescent="0.35">
      <c r="A51" s="2">
        <v>50</v>
      </c>
      <c r="B51" s="1" t="s">
        <v>159</v>
      </c>
      <c r="C51" s="2" t="s">
        <v>160</v>
      </c>
      <c r="D51" s="2">
        <v>1</v>
      </c>
      <c r="E51" s="2">
        <v>2</v>
      </c>
      <c r="F51" s="2">
        <v>2</v>
      </c>
      <c r="G51" s="1">
        <v>5</v>
      </c>
      <c r="H51" s="2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Sheet1</vt:lpstr>
      <vt:lpstr>Governance</vt:lpstr>
      <vt:lpstr>Environment</vt:lpstr>
      <vt:lpstr>Social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 Changming</dc:creator>
  <cp:lastModifiedBy>Cai Changming</cp:lastModifiedBy>
  <dcterms:created xsi:type="dcterms:W3CDTF">2026-02-18T14:39:44Z</dcterms:created>
  <dcterms:modified xsi:type="dcterms:W3CDTF">2026-02-26T12:05:29Z</dcterms:modified>
</cp:coreProperties>
</file>